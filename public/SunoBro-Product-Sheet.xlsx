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Products" sheetId="2" state="visible" r:id="rId2"/>
    <sheet name="Variants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FFBE8"/>
      </patternFill>
    </fill>
    <fill>
      <patternFill patternType="solid">
        <fgColor rgb="00EEF1EF"/>
      </patternFill>
    </fill>
    <fill>
      <patternFill patternType="solid">
        <fgColor rgb="001F3A2E"/>
      </patternFill>
    </fill>
  </fills>
  <borders count="2">
    <border>
      <left/>
      <right/>
      <top/>
      <bottom/>
      <diagonal/>
    </border>
    <border>
      <left style="thin">
        <color rgb="00D5DAD7"/>
      </left>
      <right style="thin">
        <color rgb="00D5DAD7"/>
      </right>
      <top style="thin">
        <color rgb="00D5DAD7"/>
      </top>
      <bottom style="thin">
        <color rgb="00D5DAD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5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165" fontId="5" fillId="3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SunoBro product sheet</t>
        </is>
      </c>
      <c r="B1" s="2" t="inlineStr"/>
    </row>
    <row r="2">
      <c r="A2" s="3" t="inlineStr"/>
      <c r="B2" s="2" t="inlineStr"/>
    </row>
    <row r="3">
      <c r="A3" s="4" t="inlineStr">
        <is>
          <t>What this is</t>
        </is>
      </c>
      <c r="B3" s="2" t="inlineStr">
        <is>
          <t>One file for every product on www.sunobro.com. Fill it, upload it in admin → Products → Import, and the site updates.</t>
        </is>
      </c>
    </row>
    <row r="4">
      <c r="A4" s="4" t="inlineStr">
        <is>
          <t>Products tab</t>
        </is>
      </c>
      <c r="B4" s="2" t="inlineStr">
        <is>
          <t>One row per product (e.g. 'Unisex Classic Crew T-Shirt'). Name, description, selling price, status and cover image.</t>
        </is>
      </c>
    </row>
    <row r="5">
      <c r="A5" s="4" t="inlineStr">
        <is>
          <t>Variants tab</t>
        </is>
      </c>
      <c r="B5" s="2" t="inlineStr">
        <is>
          <t>One row per colour × size of that product. A tee in 3 colours × 4 sizes = 12 rows. Each row needs its Qikink Store SKU.</t>
        </is>
      </c>
    </row>
    <row r="6">
      <c r="A6" s="4" t="inlineStr">
        <is>
          <t>Where the Store SKU comes from</t>
        </is>
      </c>
      <c r="B6" s="2" t="inlineStr">
        <is>
          <t>Qikink dashboard → My Products → the product → Product Variations → 'Store SKU' column (starts with v-…). NOT the 'Product SKU' (like MRnHs-Wh-M) — Qikink rejects that.</t>
        </is>
      </c>
    </row>
    <row r="7">
      <c r="A7" s="4" t="inlineStr">
        <is>
          <t>Images</t>
        </is>
      </c>
      <c r="B7" s="2" t="inlineStr">
        <is>
          <t>Use public image links (Qikink mockup links work: right-click the mockup → Copy image address). Cover image on Products; one image per colour on Variants (same link on every size of that colour).</t>
        </is>
      </c>
    </row>
    <row r="8">
      <c r="A8" s="4" t="inlineStr">
        <is>
          <t>Prices</t>
        </is>
      </c>
      <c r="B8" s="2" t="inlineStr">
        <is>
          <t>Selling price in ₹ on Products. Leave 'Price override' blank unless one size costs more (e.g. XXL ₹649).</t>
        </is>
      </c>
    </row>
    <row r="9">
      <c r="A9" s="4" t="inlineStr">
        <is>
          <t>Status</t>
        </is>
      </c>
      <c r="B9" s="2" t="inlineStr">
        <is>
          <t>active = visible on the site (only if every variant has a Store SKU — see 'Ready to publish'). draft = saved but hidden.</t>
        </is>
      </c>
    </row>
    <row r="10">
      <c r="A10" s="4" t="inlineStr">
        <is>
          <t>Updating later</t>
        </is>
      </c>
      <c r="B10" s="2" t="inlineStr">
        <is>
          <t>Re-upload the same sheet after edits. Products are matched by Product name; variants by colour + size. Remove a row to remove that variant.</t>
        </is>
      </c>
    </row>
    <row r="11">
      <c r="A11" s="3" t="inlineStr"/>
      <c r="B11" s="2" t="inlineStr"/>
    </row>
    <row r="12">
      <c r="A12" s="4" t="inlineStr">
        <is>
          <t>Colour key</t>
        </is>
      </c>
      <c r="B12" s="2" t="inlineStr"/>
    </row>
    <row r="13">
      <c r="A13" s="5" t="inlineStr">
        <is>
          <t>Yellow cells</t>
        </is>
      </c>
      <c r="B13" s="2" t="inlineStr">
        <is>
          <t>Required — you fill these.</t>
        </is>
      </c>
    </row>
    <row r="14">
      <c r="A14" s="6" t="inlineStr">
        <is>
          <t>Light yellow cells</t>
        </is>
      </c>
      <c r="B14" s="2" t="inlineStr">
        <is>
          <t>Optional — fill if you need them.</t>
        </is>
      </c>
    </row>
    <row r="15">
      <c r="A15" s="7" t="inlineStr">
        <is>
          <t>Grey cells</t>
        </is>
      </c>
      <c r="B15" s="2" t="inlineStr">
        <is>
          <t>Calculated automatically — don't type here.</t>
        </is>
      </c>
    </row>
    <row r="16">
      <c r="A16" s="4" t="inlineStr">
        <is>
          <t>Blue text</t>
        </is>
      </c>
      <c r="B16" s="2" t="inlineStr">
        <is>
          <t>Values you entered. Black text = formulas.</t>
        </is>
      </c>
    </row>
    <row r="17">
      <c r="A17" s="3" t="inlineStr"/>
      <c r="B17" s="2" t="inlineStr"/>
    </row>
    <row r="18">
      <c r="A18" s="4" t="inlineStr">
        <is>
          <t>Example</t>
        </is>
      </c>
      <c r="B18" s="2" t="inlineStr">
        <is>
          <t>The rows already filled in are the live 'Unisex Classic Crew T-Shirt' (12 variants, real Store SKUs, ₹599). Keep them or overwrite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11" customWidth="1" min="4" max="4"/>
    <col width="44" customWidth="1" min="5" max="5"/>
    <col width="36" customWidth="1" min="6" max="6"/>
    <col width="26" customWidth="1" min="7" max="7"/>
    <col width="16" customWidth="1" min="8" max="8"/>
    <col width="16" customWidth="1" min="9" max="9"/>
    <col width="18" customWidth="1" min="10" max="10"/>
    <col width="10" customWidth="1" min="11" max="11"/>
    <col width="12" customWidth="1" min="12" max="12"/>
    <col width="22" customWidth="1" min="13" max="13"/>
  </cols>
  <sheetData>
    <row r="1" ht="32" customHeight="1">
      <c r="A1" s="8" t="inlineStr">
        <is>
          <t>Product name *</t>
        </is>
      </c>
      <c r="B1" s="8" t="inlineStr">
        <is>
          <t>Description *</t>
        </is>
      </c>
      <c r="C1" s="8" t="inlineStr">
        <is>
          <t>Selling price ₹ *</t>
        </is>
      </c>
      <c r="D1" s="8" t="inlineStr">
        <is>
          <t>Status *</t>
        </is>
      </c>
      <c r="E1" s="8" t="inlineStr">
        <is>
          <t>Cover image URL *</t>
        </is>
      </c>
      <c r="F1" s="8" t="inlineStr">
        <is>
          <t>More image URLs (separate with |)</t>
        </is>
      </c>
      <c r="G1" s="8" t="inlineStr">
        <is>
          <t>URL slug (auto if blank)</t>
        </is>
      </c>
      <c r="H1" s="8" t="inlineStr">
        <is>
          <t>Qikink Product ID</t>
        </is>
      </c>
      <c r="I1" s="8" t="inlineStr">
        <is>
          <t>Design name</t>
        </is>
      </c>
      <c r="J1" s="8" t="inlineStr">
        <is>
          <t>Print size (W × H in)</t>
        </is>
      </c>
      <c r="K1" s="8" t="inlineStr">
        <is>
          <t>Variants</t>
        </is>
      </c>
      <c r="L1" s="8" t="inlineStr">
        <is>
          <t>With Store SKU</t>
        </is>
      </c>
      <c r="M1" s="8" t="inlineStr">
        <is>
          <t>Ready to publish</t>
        </is>
      </c>
    </row>
    <row r="2">
      <c r="A2" s="9" t="inlineStr">
        <is>
          <t>Unisex Classic Crew T-Shirt</t>
        </is>
      </c>
      <c r="B2" s="9" t="inlineStr">
        <is>
          <t>Classic crew-neck cotton tee with the SunoBro print. Printed on demand and shipped across India.</t>
        </is>
      </c>
      <c r="C2" s="10" t="n">
        <v>599</v>
      </c>
      <c r="D2" s="9" t="inlineStr">
        <is>
          <t>active</t>
        </is>
      </c>
      <c r="E2" s="9" t="inlineStr">
        <is>
          <t>https://qikink-assets.s3.ap-south-1.amazonaws.com/clients/621544/clientProducts/32422268/images/Front_1_c_1.jpg</t>
        </is>
      </c>
      <c r="F2" s="11" t="n"/>
      <c r="G2" s="11" t="inlineStr">
        <is>
          <t>unisex-classic-crew-t-shirt</t>
        </is>
      </c>
      <c r="H2" s="11" t="inlineStr">
        <is>
          <t>64844536</t>
        </is>
      </c>
      <c r="I2" s="11" t="inlineStr">
        <is>
          <t>imgtext</t>
        </is>
      </c>
      <c r="J2" s="11" t="inlineStr">
        <is>
          <t>14 × 6.4</t>
        </is>
      </c>
      <c r="K2" s="12">
        <f>IF(A2="","",COUNTIF(Variants!$A:$A,A2))</f>
        <v/>
      </c>
      <c r="L2" s="12">
        <f>IF(A2="","",COUNTIFS(Variants!$A:$A,A2,Variants!$D:$D,"&lt;&gt;"))</f>
        <v/>
      </c>
      <c r="M2" s="12">
        <f>IF(A2="","",IF(K2=0,"ADD VARIANTS",IF(L2&lt;K2,"MISSING "&amp;(K2-L2)&amp;" STORE SKU",IF(E2="","ADD COVER IMAGE","READY"))))</f>
        <v/>
      </c>
    </row>
    <row r="3">
      <c r="A3" s="9" t="n"/>
      <c r="B3" s="9" t="n"/>
      <c r="C3" s="10" t="n"/>
      <c r="D3" s="9" t="n"/>
      <c r="E3" s="9" t="n"/>
      <c r="F3" s="11" t="n"/>
      <c r="G3" s="11" t="n"/>
      <c r="H3" s="11" t="n"/>
      <c r="I3" s="11" t="n"/>
      <c r="J3" s="11" t="n"/>
      <c r="K3" s="12">
        <f>IF(A3="","",COUNTIF(Variants!$A:$A,A3))</f>
        <v/>
      </c>
      <c r="L3" s="12">
        <f>IF(A3="","",COUNTIFS(Variants!$A:$A,A3,Variants!$D:$D,"&lt;&gt;"))</f>
        <v/>
      </c>
      <c r="M3" s="12">
        <f>IF(A3="","",IF(K3=0,"ADD VARIANTS",IF(L3&lt;K3,"MISSING "&amp;(K3-L3)&amp;" STORE SKU",IF(E3="","ADD COVER IMAGE","READY"))))</f>
        <v/>
      </c>
    </row>
    <row r="4">
      <c r="A4" s="9" t="n"/>
      <c r="B4" s="9" t="n"/>
      <c r="C4" s="10" t="n"/>
      <c r="D4" s="9" t="n"/>
      <c r="E4" s="9" t="n"/>
      <c r="F4" s="11" t="n"/>
      <c r="G4" s="11" t="n"/>
      <c r="H4" s="11" t="n"/>
      <c r="I4" s="11" t="n"/>
      <c r="J4" s="11" t="n"/>
      <c r="K4" s="12">
        <f>IF(A4="","",COUNTIF(Variants!$A:$A,A4))</f>
        <v/>
      </c>
      <c r="L4" s="12">
        <f>IF(A4="","",COUNTIFS(Variants!$A:$A,A4,Variants!$D:$D,"&lt;&gt;"))</f>
        <v/>
      </c>
      <c r="M4" s="12">
        <f>IF(A4="","",IF(K4=0,"ADD VARIANTS",IF(L4&lt;K4,"MISSING "&amp;(K4-L4)&amp;" STORE SKU",IF(E4="","ADD COVER IMAGE","READY"))))</f>
        <v/>
      </c>
    </row>
    <row r="5">
      <c r="A5" s="9" t="n"/>
      <c r="B5" s="9" t="n"/>
      <c r="C5" s="10" t="n"/>
      <c r="D5" s="9" t="n"/>
      <c r="E5" s="9" t="n"/>
      <c r="F5" s="11" t="n"/>
      <c r="G5" s="11" t="n"/>
      <c r="H5" s="11" t="n"/>
      <c r="I5" s="11" t="n"/>
      <c r="J5" s="11" t="n"/>
      <c r="K5" s="12">
        <f>IF(A5="","",COUNTIF(Variants!$A:$A,A5))</f>
        <v/>
      </c>
      <c r="L5" s="12">
        <f>IF(A5="","",COUNTIFS(Variants!$A:$A,A5,Variants!$D:$D,"&lt;&gt;"))</f>
        <v/>
      </c>
      <c r="M5" s="12">
        <f>IF(A5="","",IF(K5=0,"ADD VARIANTS",IF(L5&lt;K5,"MISSING "&amp;(K5-L5)&amp;" STORE SKU",IF(E5="","ADD COVER IMAGE","READY"))))</f>
        <v/>
      </c>
    </row>
    <row r="6">
      <c r="A6" s="9" t="n"/>
      <c r="B6" s="9" t="n"/>
      <c r="C6" s="10" t="n"/>
      <c r="D6" s="9" t="n"/>
      <c r="E6" s="9" t="n"/>
      <c r="F6" s="11" t="n"/>
      <c r="G6" s="11" t="n"/>
      <c r="H6" s="11" t="n"/>
      <c r="I6" s="11" t="n"/>
      <c r="J6" s="11" t="n"/>
      <c r="K6" s="12">
        <f>IF(A6="","",COUNTIF(Variants!$A:$A,A6))</f>
        <v/>
      </c>
      <c r="L6" s="12">
        <f>IF(A6="","",COUNTIFS(Variants!$A:$A,A6,Variants!$D:$D,"&lt;&gt;"))</f>
        <v/>
      </c>
      <c r="M6" s="12">
        <f>IF(A6="","",IF(K6=0,"ADD VARIANTS",IF(L6&lt;K6,"MISSING "&amp;(K6-L6)&amp;" STORE SKU",IF(E6="","ADD COVER IMAGE","READY"))))</f>
        <v/>
      </c>
    </row>
    <row r="7">
      <c r="A7" s="9" t="n"/>
      <c r="B7" s="9" t="n"/>
      <c r="C7" s="10" t="n"/>
      <c r="D7" s="9" t="n"/>
      <c r="E7" s="9" t="n"/>
      <c r="F7" s="11" t="n"/>
      <c r="G7" s="11" t="n"/>
      <c r="H7" s="11" t="n"/>
      <c r="I7" s="11" t="n"/>
      <c r="J7" s="11" t="n"/>
      <c r="K7" s="12">
        <f>IF(A7="","",COUNTIF(Variants!$A:$A,A7))</f>
        <v/>
      </c>
      <c r="L7" s="12">
        <f>IF(A7="","",COUNTIFS(Variants!$A:$A,A7,Variants!$D:$D,"&lt;&gt;"))</f>
        <v/>
      </c>
      <c r="M7" s="12">
        <f>IF(A7="","",IF(K7=0,"ADD VARIANTS",IF(L7&lt;K7,"MISSING "&amp;(K7-L7)&amp;" STORE SKU",IF(E7="","ADD COVER IMAGE","READY"))))</f>
        <v/>
      </c>
    </row>
    <row r="8">
      <c r="A8" s="9" t="n"/>
      <c r="B8" s="9" t="n"/>
      <c r="C8" s="10" t="n"/>
      <c r="D8" s="9" t="n"/>
      <c r="E8" s="9" t="n"/>
      <c r="F8" s="11" t="n"/>
      <c r="G8" s="11" t="n"/>
      <c r="H8" s="11" t="n"/>
      <c r="I8" s="11" t="n"/>
      <c r="J8" s="11" t="n"/>
      <c r="K8" s="12">
        <f>IF(A8="","",COUNTIF(Variants!$A:$A,A8))</f>
        <v/>
      </c>
      <c r="L8" s="12">
        <f>IF(A8="","",COUNTIFS(Variants!$A:$A,A8,Variants!$D:$D,"&lt;&gt;"))</f>
        <v/>
      </c>
      <c r="M8" s="12">
        <f>IF(A8="","",IF(K8=0,"ADD VARIANTS",IF(L8&lt;K8,"MISSING "&amp;(K8-L8)&amp;" STORE SKU",IF(E8="","ADD COVER IMAGE","READY"))))</f>
        <v/>
      </c>
    </row>
    <row r="9">
      <c r="A9" s="9" t="n"/>
      <c r="B9" s="9" t="n"/>
      <c r="C9" s="10" t="n"/>
      <c r="D9" s="9" t="n"/>
      <c r="E9" s="9" t="n"/>
      <c r="F9" s="11" t="n"/>
      <c r="G9" s="11" t="n"/>
      <c r="H9" s="11" t="n"/>
      <c r="I9" s="11" t="n"/>
      <c r="J9" s="11" t="n"/>
      <c r="K9" s="12">
        <f>IF(A9="","",COUNTIF(Variants!$A:$A,A9))</f>
        <v/>
      </c>
      <c r="L9" s="12">
        <f>IF(A9="","",COUNTIFS(Variants!$A:$A,A9,Variants!$D:$D,"&lt;&gt;"))</f>
        <v/>
      </c>
      <c r="M9" s="12">
        <f>IF(A9="","",IF(K9=0,"ADD VARIANTS",IF(L9&lt;K9,"MISSING "&amp;(K9-L9)&amp;" STORE SKU",IF(E9="","ADD COVER IMAGE","READY"))))</f>
        <v/>
      </c>
    </row>
    <row r="10">
      <c r="A10" s="9" t="n"/>
      <c r="B10" s="9" t="n"/>
      <c r="C10" s="10" t="n"/>
      <c r="D10" s="9" t="n"/>
      <c r="E10" s="9" t="n"/>
      <c r="F10" s="11" t="n"/>
      <c r="G10" s="11" t="n"/>
      <c r="H10" s="11" t="n"/>
      <c r="I10" s="11" t="n"/>
      <c r="J10" s="11" t="n"/>
      <c r="K10" s="12">
        <f>IF(A10="","",COUNTIF(Variants!$A:$A,A10))</f>
        <v/>
      </c>
      <c r="L10" s="12">
        <f>IF(A10="","",COUNTIFS(Variants!$A:$A,A10,Variants!$D:$D,"&lt;&gt;"))</f>
        <v/>
      </c>
      <c r="M10" s="12">
        <f>IF(A10="","",IF(K10=0,"ADD VARIANTS",IF(L10&lt;K10,"MISSING "&amp;(K10-L10)&amp;" STORE SKU",IF(E10="","ADD COVER IMAGE","READY"))))</f>
        <v/>
      </c>
    </row>
    <row r="11">
      <c r="A11" s="9" t="n"/>
      <c r="B11" s="9" t="n"/>
      <c r="C11" s="10" t="n"/>
      <c r="D11" s="9" t="n"/>
      <c r="E11" s="9" t="n"/>
      <c r="F11" s="11" t="n"/>
      <c r="G11" s="11" t="n"/>
      <c r="H11" s="11" t="n"/>
      <c r="I11" s="11" t="n"/>
      <c r="J11" s="11" t="n"/>
      <c r="K11" s="12">
        <f>IF(A11="","",COUNTIF(Variants!$A:$A,A11))</f>
        <v/>
      </c>
      <c r="L11" s="12">
        <f>IF(A11="","",COUNTIFS(Variants!$A:$A,A11,Variants!$D:$D,"&lt;&gt;"))</f>
        <v/>
      </c>
      <c r="M11" s="12">
        <f>IF(A11="","",IF(K11=0,"ADD VARIANTS",IF(L11&lt;K11,"MISSING "&amp;(K11-L11)&amp;" STORE SKU",IF(E11="","ADD COVER IMAGE","READY"))))</f>
        <v/>
      </c>
    </row>
    <row r="12">
      <c r="A12" s="9" t="n"/>
      <c r="B12" s="9" t="n"/>
      <c r="C12" s="10" t="n"/>
      <c r="D12" s="9" t="n"/>
      <c r="E12" s="9" t="n"/>
      <c r="F12" s="11" t="n"/>
      <c r="G12" s="11" t="n"/>
      <c r="H12" s="11" t="n"/>
      <c r="I12" s="11" t="n"/>
      <c r="J12" s="11" t="n"/>
      <c r="K12" s="12">
        <f>IF(A12="","",COUNTIF(Variants!$A:$A,A12))</f>
        <v/>
      </c>
      <c r="L12" s="12">
        <f>IF(A12="","",COUNTIFS(Variants!$A:$A,A12,Variants!$D:$D,"&lt;&gt;"))</f>
        <v/>
      </c>
      <c r="M12" s="12">
        <f>IF(A12="","",IF(K12=0,"ADD VARIANTS",IF(L12&lt;K12,"MISSING "&amp;(K12-L12)&amp;" STORE SKU",IF(E12="","ADD COVER IMAGE","READY"))))</f>
        <v/>
      </c>
    </row>
    <row r="13">
      <c r="A13" s="9" t="n"/>
      <c r="B13" s="9" t="n"/>
      <c r="C13" s="10" t="n"/>
      <c r="D13" s="9" t="n"/>
      <c r="E13" s="9" t="n"/>
      <c r="F13" s="11" t="n"/>
      <c r="G13" s="11" t="n"/>
      <c r="H13" s="11" t="n"/>
      <c r="I13" s="11" t="n"/>
      <c r="J13" s="11" t="n"/>
      <c r="K13" s="12">
        <f>IF(A13="","",COUNTIF(Variants!$A:$A,A13))</f>
        <v/>
      </c>
      <c r="L13" s="12">
        <f>IF(A13="","",COUNTIFS(Variants!$A:$A,A13,Variants!$D:$D,"&lt;&gt;"))</f>
        <v/>
      </c>
      <c r="M13" s="12">
        <f>IF(A13="","",IF(K13=0,"ADD VARIANTS",IF(L13&lt;K13,"MISSING "&amp;(K13-L13)&amp;" STORE SKU",IF(E13="","ADD COVER IMAGE","READY"))))</f>
        <v/>
      </c>
    </row>
    <row r="14">
      <c r="A14" s="9" t="n"/>
      <c r="B14" s="9" t="n"/>
      <c r="C14" s="10" t="n"/>
      <c r="D14" s="9" t="n"/>
      <c r="E14" s="9" t="n"/>
      <c r="F14" s="11" t="n"/>
      <c r="G14" s="11" t="n"/>
      <c r="H14" s="11" t="n"/>
      <c r="I14" s="11" t="n"/>
      <c r="J14" s="11" t="n"/>
      <c r="K14" s="12">
        <f>IF(A14="","",COUNTIF(Variants!$A:$A,A14))</f>
        <v/>
      </c>
      <c r="L14" s="12">
        <f>IF(A14="","",COUNTIFS(Variants!$A:$A,A14,Variants!$D:$D,"&lt;&gt;"))</f>
        <v/>
      </c>
      <c r="M14" s="12">
        <f>IF(A14="","",IF(K14=0,"ADD VARIANTS",IF(L14&lt;K14,"MISSING "&amp;(K14-L14)&amp;" STORE SKU",IF(E14="","ADD COVER IMAGE","READY"))))</f>
        <v/>
      </c>
    </row>
    <row r="15">
      <c r="A15" s="9" t="n"/>
      <c r="B15" s="9" t="n"/>
      <c r="C15" s="10" t="n"/>
      <c r="D15" s="9" t="n"/>
      <c r="E15" s="9" t="n"/>
      <c r="F15" s="11" t="n"/>
      <c r="G15" s="11" t="n"/>
      <c r="H15" s="11" t="n"/>
      <c r="I15" s="11" t="n"/>
      <c r="J15" s="11" t="n"/>
      <c r="K15" s="12">
        <f>IF(A15="","",COUNTIF(Variants!$A:$A,A15))</f>
        <v/>
      </c>
      <c r="L15" s="12">
        <f>IF(A15="","",COUNTIFS(Variants!$A:$A,A15,Variants!$D:$D,"&lt;&gt;"))</f>
        <v/>
      </c>
      <c r="M15" s="12">
        <f>IF(A15="","",IF(K15=0,"ADD VARIANTS",IF(L15&lt;K15,"MISSING "&amp;(K15-L15)&amp;" STORE SKU",IF(E15="","ADD COVER IMAGE","READY"))))</f>
        <v/>
      </c>
    </row>
    <row r="16">
      <c r="A16" s="9" t="n"/>
      <c r="B16" s="9" t="n"/>
      <c r="C16" s="10" t="n"/>
      <c r="D16" s="9" t="n"/>
      <c r="E16" s="9" t="n"/>
      <c r="F16" s="11" t="n"/>
      <c r="G16" s="11" t="n"/>
      <c r="H16" s="11" t="n"/>
      <c r="I16" s="11" t="n"/>
      <c r="J16" s="11" t="n"/>
      <c r="K16" s="12">
        <f>IF(A16="","",COUNTIF(Variants!$A:$A,A16))</f>
        <v/>
      </c>
      <c r="L16" s="12">
        <f>IF(A16="","",COUNTIFS(Variants!$A:$A,A16,Variants!$D:$D,"&lt;&gt;"))</f>
        <v/>
      </c>
      <c r="M16" s="12">
        <f>IF(A16="","",IF(K16=0,"ADD VARIANTS",IF(L16&lt;K16,"MISSING "&amp;(K16-L16)&amp;" STORE SKU",IF(E16="","ADD COVER IMAGE","READY"))))</f>
        <v/>
      </c>
    </row>
    <row r="17">
      <c r="A17" s="9" t="n"/>
      <c r="B17" s="9" t="n"/>
      <c r="C17" s="10" t="n"/>
      <c r="D17" s="9" t="n"/>
      <c r="E17" s="9" t="n"/>
      <c r="F17" s="11" t="n"/>
      <c r="G17" s="11" t="n"/>
      <c r="H17" s="11" t="n"/>
      <c r="I17" s="11" t="n"/>
      <c r="J17" s="11" t="n"/>
      <c r="K17" s="12">
        <f>IF(A17="","",COUNTIF(Variants!$A:$A,A17))</f>
        <v/>
      </c>
      <c r="L17" s="12">
        <f>IF(A17="","",COUNTIFS(Variants!$A:$A,A17,Variants!$D:$D,"&lt;&gt;"))</f>
        <v/>
      </c>
      <c r="M17" s="12">
        <f>IF(A17="","",IF(K17=0,"ADD VARIANTS",IF(L17&lt;K17,"MISSING "&amp;(K17-L17)&amp;" STORE SKU",IF(E17="","ADD COVER IMAGE","READY"))))</f>
        <v/>
      </c>
    </row>
    <row r="18">
      <c r="A18" s="9" t="n"/>
      <c r="B18" s="9" t="n"/>
      <c r="C18" s="10" t="n"/>
      <c r="D18" s="9" t="n"/>
      <c r="E18" s="9" t="n"/>
      <c r="F18" s="11" t="n"/>
      <c r="G18" s="11" t="n"/>
      <c r="H18" s="11" t="n"/>
      <c r="I18" s="11" t="n"/>
      <c r="J18" s="11" t="n"/>
      <c r="K18" s="12">
        <f>IF(A18="","",COUNTIF(Variants!$A:$A,A18))</f>
        <v/>
      </c>
      <c r="L18" s="12">
        <f>IF(A18="","",COUNTIFS(Variants!$A:$A,A18,Variants!$D:$D,"&lt;&gt;"))</f>
        <v/>
      </c>
      <c r="M18" s="12">
        <f>IF(A18="","",IF(K18=0,"ADD VARIANTS",IF(L18&lt;K18,"MISSING "&amp;(K18-L18)&amp;" STORE SKU",IF(E18="","ADD COVER IMAGE","READY"))))</f>
        <v/>
      </c>
    </row>
    <row r="19">
      <c r="A19" s="9" t="n"/>
      <c r="B19" s="9" t="n"/>
      <c r="C19" s="10" t="n"/>
      <c r="D19" s="9" t="n"/>
      <c r="E19" s="9" t="n"/>
      <c r="F19" s="11" t="n"/>
      <c r="G19" s="11" t="n"/>
      <c r="H19" s="11" t="n"/>
      <c r="I19" s="11" t="n"/>
      <c r="J19" s="11" t="n"/>
      <c r="K19" s="12">
        <f>IF(A19="","",COUNTIF(Variants!$A:$A,A19))</f>
        <v/>
      </c>
      <c r="L19" s="12">
        <f>IF(A19="","",COUNTIFS(Variants!$A:$A,A19,Variants!$D:$D,"&lt;&gt;"))</f>
        <v/>
      </c>
      <c r="M19" s="12">
        <f>IF(A19="","",IF(K19=0,"ADD VARIANTS",IF(L19&lt;K19,"MISSING "&amp;(K19-L19)&amp;" STORE SKU",IF(E19="","ADD COVER IMAGE","READY"))))</f>
        <v/>
      </c>
    </row>
    <row r="20">
      <c r="A20" s="9" t="n"/>
      <c r="B20" s="9" t="n"/>
      <c r="C20" s="10" t="n"/>
      <c r="D20" s="9" t="n"/>
      <c r="E20" s="9" t="n"/>
      <c r="F20" s="11" t="n"/>
      <c r="G20" s="11" t="n"/>
      <c r="H20" s="11" t="n"/>
      <c r="I20" s="11" t="n"/>
      <c r="J20" s="11" t="n"/>
      <c r="K20" s="12">
        <f>IF(A20="","",COUNTIF(Variants!$A:$A,A20))</f>
        <v/>
      </c>
      <c r="L20" s="12">
        <f>IF(A20="","",COUNTIFS(Variants!$A:$A,A20,Variants!$D:$D,"&lt;&gt;"))</f>
        <v/>
      </c>
      <c r="M20" s="12">
        <f>IF(A20="","",IF(K20=0,"ADD VARIANTS",IF(L20&lt;K20,"MISSING "&amp;(K20-L20)&amp;" STORE SKU",IF(E20="","ADD COVER IMAGE","READY"))))</f>
        <v/>
      </c>
    </row>
    <row r="21">
      <c r="A21" s="9" t="n"/>
      <c r="B21" s="9" t="n"/>
      <c r="C21" s="10" t="n"/>
      <c r="D21" s="9" t="n"/>
      <c r="E21" s="9" t="n"/>
      <c r="F21" s="11" t="n"/>
      <c r="G21" s="11" t="n"/>
      <c r="H21" s="11" t="n"/>
      <c r="I21" s="11" t="n"/>
      <c r="J21" s="11" t="n"/>
      <c r="K21" s="12">
        <f>IF(A21="","",COUNTIF(Variants!$A:$A,A21))</f>
        <v/>
      </c>
      <c r="L21" s="12">
        <f>IF(A21="","",COUNTIFS(Variants!$A:$A,A21,Variants!$D:$D,"&lt;&gt;"))</f>
        <v/>
      </c>
      <c r="M21" s="12">
        <f>IF(A21="","",IF(K21=0,"ADD VARIANTS",IF(L21&lt;K21,"MISSING "&amp;(K21-L21)&amp;" STORE SKU",IF(E21="","ADD COVER IMAGE","READY"))))</f>
        <v/>
      </c>
    </row>
    <row r="22">
      <c r="A22" s="9" t="n"/>
      <c r="B22" s="9" t="n"/>
      <c r="C22" s="10" t="n"/>
      <c r="D22" s="9" t="n"/>
      <c r="E22" s="9" t="n"/>
      <c r="F22" s="11" t="n"/>
      <c r="G22" s="11" t="n"/>
      <c r="H22" s="11" t="n"/>
      <c r="I22" s="11" t="n"/>
      <c r="J22" s="11" t="n"/>
      <c r="K22" s="12">
        <f>IF(A22="","",COUNTIF(Variants!$A:$A,A22))</f>
        <v/>
      </c>
      <c r="L22" s="12">
        <f>IF(A22="","",COUNTIFS(Variants!$A:$A,A22,Variants!$D:$D,"&lt;&gt;"))</f>
        <v/>
      </c>
      <c r="M22" s="12">
        <f>IF(A22="","",IF(K22=0,"ADD VARIANTS",IF(L22&lt;K22,"MISSING "&amp;(K22-L22)&amp;" STORE SKU",IF(E22="","ADD COVER IMAGE","READY"))))</f>
        <v/>
      </c>
    </row>
    <row r="23">
      <c r="A23" s="9" t="n"/>
      <c r="B23" s="9" t="n"/>
      <c r="C23" s="10" t="n"/>
      <c r="D23" s="9" t="n"/>
      <c r="E23" s="9" t="n"/>
      <c r="F23" s="11" t="n"/>
      <c r="G23" s="11" t="n"/>
      <c r="H23" s="11" t="n"/>
      <c r="I23" s="11" t="n"/>
      <c r="J23" s="11" t="n"/>
      <c r="K23" s="12">
        <f>IF(A23="","",COUNTIF(Variants!$A:$A,A23))</f>
        <v/>
      </c>
      <c r="L23" s="12">
        <f>IF(A23="","",COUNTIFS(Variants!$A:$A,A23,Variants!$D:$D,"&lt;&gt;"))</f>
        <v/>
      </c>
      <c r="M23" s="12">
        <f>IF(A23="","",IF(K23=0,"ADD VARIANTS",IF(L23&lt;K23,"MISSING "&amp;(K23-L23)&amp;" STORE SKU",IF(E23="","ADD COVER IMAGE","READY"))))</f>
        <v/>
      </c>
    </row>
    <row r="24">
      <c r="A24" s="9" t="n"/>
      <c r="B24" s="9" t="n"/>
      <c r="C24" s="10" t="n"/>
      <c r="D24" s="9" t="n"/>
      <c r="E24" s="9" t="n"/>
      <c r="F24" s="11" t="n"/>
      <c r="G24" s="11" t="n"/>
      <c r="H24" s="11" t="n"/>
      <c r="I24" s="11" t="n"/>
      <c r="J24" s="11" t="n"/>
      <c r="K24" s="12">
        <f>IF(A24="","",COUNTIF(Variants!$A:$A,A24))</f>
        <v/>
      </c>
      <c r="L24" s="12">
        <f>IF(A24="","",COUNTIFS(Variants!$A:$A,A24,Variants!$D:$D,"&lt;&gt;"))</f>
        <v/>
      </c>
      <c r="M24" s="12">
        <f>IF(A24="","",IF(K24=0,"ADD VARIANTS",IF(L24&lt;K24,"MISSING "&amp;(K24-L24)&amp;" STORE SKU",IF(E24="","ADD COVER IMAGE","READY"))))</f>
        <v/>
      </c>
    </row>
    <row r="25">
      <c r="A25" s="9" t="n"/>
      <c r="B25" s="9" t="n"/>
      <c r="C25" s="10" t="n"/>
      <c r="D25" s="9" t="n"/>
      <c r="E25" s="9" t="n"/>
      <c r="F25" s="11" t="n"/>
      <c r="G25" s="11" t="n"/>
      <c r="H25" s="11" t="n"/>
      <c r="I25" s="11" t="n"/>
      <c r="J25" s="11" t="n"/>
      <c r="K25" s="12">
        <f>IF(A25="","",COUNTIF(Variants!$A:$A,A25))</f>
        <v/>
      </c>
      <c r="L25" s="12">
        <f>IF(A25="","",COUNTIFS(Variants!$A:$A,A25,Variants!$D:$D,"&lt;&gt;"))</f>
        <v/>
      </c>
      <c r="M25" s="12">
        <f>IF(A25="","",IF(K25=0,"ADD VARIANTS",IF(L25&lt;K25,"MISSING "&amp;(K25-L25)&amp;" STORE SKU",IF(E25="","ADD COVER IMAGE","READY"))))</f>
        <v/>
      </c>
    </row>
    <row r="26">
      <c r="A26" s="9" t="n"/>
      <c r="B26" s="9" t="n"/>
      <c r="C26" s="10" t="n"/>
      <c r="D26" s="9" t="n"/>
      <c r="E26" s="9" t="n"/>
      <c r="F26" s="11" t="n"/>
      <c r="G26" s="11" t="n"/>
      <c r="H26" s="11" t="n"/>
      <c r="I26" s="11" t="n"/>
      <c r="J26" s="11" t="n"/>
      <c r="K26" s="12">
        <f>IF(A26="","",COUNTIF(Variants!$A:$A,A26))</f>
        <v/>
      </c>
      <c r="L26" s="12">
        <f>IF(A26="","",COUNTIFS(Variants!$A:$A,A26,Variants!$D:$D,"&lt;&gt;"))</f>
        <v/>
      </c>
      <c r="M26" s="12">
        <f>IF(A26="","",IF(K26=0,"ADD VARIANTS",IF(L26&lt;K26,"MISSING "&amp;(K26-L26)&amp;" STORE SKU",IF(E26="","ADD COVER IMAGE","READY"))))</f>
        <v/>
      </c>
    </row>
    <row r="27">
      <c r="A27" s="9" t="n"/>
      <c r="B27" s="9" t="n"/>
      <c r="C27" s="10" t="n"/>
      <c r="D27" s="9" t="n"/>
      <c r="E27" s="9" t="n"/>
      <c r="F27" s="11" t="n"/>
      <c r="G27" s="11" t="n"/>
      <c r="H27" s="11" t="n"/>
      <c r="I27" s="11" t="n"/>
      <c r="J27" s="11" t="n"/>
      <c r="K27" s="12">
        <f>IF(A27="","",COUNTIF(Variants!$A:$A,A27))</f>
        <v/>
      </c>
      <c r="L27" s="12">
        <f>IF(A27="","",COUNTIFS(Variants!$A:$A,A27,Variants!$D:$D,"&lt;&gt;"))</f>
        <v/>
      </c>
      <c r="M27" s="12">
        <f>IF(A27="","",IF(K27=0,"ADD VARIANTS",IF(L27&lt;K27,"MISSING "&amp;(K27-L27)&amp;" STORE SKU",IF(E27="","ADD COVER IMAGE","READY"))))</f>
        <v/>
      </c>
    </row>
    <row r="28">
      <c r="A28" s="9" t="n"/>
      <c r="B28" s="9" t="n"/>
      <c r="C28" s="10" t="n"/>
      <c r="D28" s="9" t="n"/>
      <c r="E28" s="9" t="n"/>
      <c r="F28" s="11" t="n"/>
      <c r="G28" s="11" t="n"/>
      <c r="H28" s="11" t="n"/>
      <c r="I28" s="11" t="n"/>
      <c r="J28" s="11" t="n"/>
      <c r="K28" s="12">
        <f>IF(A28="","",COUNTIF(Variants!$A:$A,A28))</f>
        <v/>
      </c>
      <c r="L28" s="12">
        <f>IF(A28="","",COUNTIFS(Variants!$A:$A,A28,Variants!$D:$D,"&lt;&gt;"))</f>
        <v/>
      </c>
      <c r="M28" s="12">
        <f>IF(A28="","",IF(K28=0,"ADD VARIANTS",IF(L28&lt;K28,"MISSING "&amp;(K28-L28)&amp;" STORE SKU",IF(E28="","ADD COVER IMAGE","READY"))))</f>
        <v/>
      </c>
    </row>
    <row r="29">
      <c r="A29" s="9" t="n"/>
      <c r="B29" s="9" t="n"/>
      <c r="C29" s="10" t="n"/>
      <c r="D29" s="9" t="n"/>
      <c r="E29" s="9" t="n"/>
      <c r="F29" s="11" t="n"/>
      <c r="G29" s="11" t="n"/>
      <c r="H29" s="11" t="n"/>
      <c r="I29" s="11" t="n"/>
      <c r="J29" s="11" t="n"/>
      <c r="K29" s="12">
        <f>IF(A29="","",COUNTIF(Variants!$A:$A,A29))</f>
        <v/>
      </c>
      <c r="L29" s="12">
        <f>IF(A29="","",COUNTIFS(Variants!$A:$A,A29,Variants!$D:$D,"&lt;&gt;"))</f>
        <v/>
      </c>
      <c r="M29" s="12">
        <f>IF(A29="","",IF(K29=0,"ADD VARIANTS",IF(L29&lt;K29,"MISSING "&amp;(K29-L29)&amp;" STORE SKU",IF(E29="","ADD COVER IMAGE","READY"))))</f>
        <v/>
      </c>
    </row>
    <row r="30">
      <c r="A30" s="9" t="n"/>
      <c r="B30" s="9" t="n"/>
      <c r="C30" s="10" t="n"/>
      <c r="D30" s="9" t="n"/>
      <c r="E30" s="9" t="n"/>
      <c r="F30" s="11" t="n"/>
      <c r="G30" s="11" t="n"/>
      <c r="H30" s="11" t="n"/>
      <c r="I30" s="11" t="n"/>
      <c r="J30" s="11" t="n"/>
      <c r="K30" s="12">
        <f>IF(A30="","",COUNTIF(Variants!$A:$A,A30))</f>
        <v/>
      </c>
      <c r="L30" s="12">
        <f>IF(A30="","",COUNTIFS(Variants!$A:$A,A30,Variants!$D:$D,"&lt;&gt;"))</f>
        <v/>
      </c>
      <c r="M30" s="12">
        <f>IF(A30="","",IF(K30=0,"ADD VARIANTS",IF(L30&lt;K30,"MISSING "&amp;(K30-L30)&amp;" STORE SKU",IF(E30="","ADD COVER IMAGE","READY"))))</f>
        <v/>
      </c>
    </row>
    <row r="31">
      <c r="A31" s="9" t="n"/>
      <c r="B31" s="9" t="n"/>
      <c r="C31" s="10" t="n"/>
      <c r="D31" s="9" t="n"/>
      <c r="E31" s="9" t="n"/>
      <c r="F31" s="11" t="n"/>
      <c r="G31" s="11" t="n"/>
      <c r="H31" s="11" t="n"/>
      <c r="I31" s="11" t="n"/>
      <c r="J31" s="11" t="n"/>
      <c r="K31" s="12">
        <f>IF(A31="","",COUNTIF(Variants!$A:$A,A31))</f>
        <v/>
      </c>
      <c r="L31" s="12">
        <f>IF(A31="","",COUNTIFS(Variants!$A:$A,A31,Variants!$D:$D,"&lt;&gt;"))</f>
        <v/>
      </c>
      <c r="M31" s="12">
        <f>IF(A31="","",IF(K31=0,"ADD VARIANTS",IF(L31&lt;K31,"MISSING "&amp;(K31-L31)&amp;" STORE SKU",IF(E31="","ADD COVER IMAGE","READY"))))</f>
        <v/>
      </c>
    </row>
    <row r="32">
      <c r="A32" s="9" t="n"/>
      <c r="B32" s="9" t="n"/>
      <c r="C32" s="10" t="n"/>
      <c r="D32" s="9" t="n"/>
      <c r="E32" s="9" t="n"/>
      <c r="F32" s="11" t="n"/>
      <c r="G32" s="11" t="n"/>
      <c r="H32" s="11" t="n"/>
      <c r="I32" s="11" t="n"/>
      <c r="J32" s="11" t="n"/>
      <c r="K32" s="12">
        <f>IF(A32="","",COUNTIF(Variants!$A:$A,A32))</f>
        <v/>
      </c>
      <c r="L32" s="12">
        <f>IF(A32="","",COUNTIFS(Variants!$A:$A,A32,Variants!$D:$D,"&lt;&gt;"))</f>
        <v/>
      </c>
      <c r="M32" s="12">
        <f>IF(A32="","",IF(K32=0,"ADD VARIANTS",IF(L32&lt;K32,"MISSING "&amp;(K32-L32)&amp;" STORE SKU",IF(E32="","ADD COVER IMAGE","READY"))))</f>
        <v/>
      </c>
    </row>
    <row r="33">
      <c r="A33" s="9" t="n"/>
      <c r="B33" s="9" t="n"/>
      <c r="C33" s="10" t="n"/>
      <c r="D33" s="9" t="n"/>
      <c r="E33" s="9" t="n"/>
      <c r="F33" s="11" t="n"/>
      <c r="G33" s="11" t="n"/>
      <c r="H33" s="11" t="n"/>
      <c r="I33" s="11" t="n"/>
      <c r="J33" s="11" t="n"/>
      <c r="K33" s="12">
        <f>IF(A33="","",COUNTIF(Variants!$A:$A,A33))</f>
        <v/>
      </c>
      <c r="L33" s="12">
        <f>IF(A33="","",COUNTIFS(Variants!$A:$A,A33,Variants!$D:$D,"&lt;&gt;"))</f>
        <v/>
      </c>
      <c r="M33" s="12">
        <f>IF(A33="","",IF(K33=0,"ADD VARIANTS",IF(L33&lt;K33,"MISSING "&amp;(K33-L33)&amp;" STORE SKU",IF(E33="","ADD COVER IMAGE","READY"))))</f>
        <v/>
      </c>
    </row>
    <row r="34">
      <c r="A34" s="9" t="n"/>
      <c r="B34" s="9" t="n"/>
      <c r="C34" s="10" t="n"/>
      <c r="D34" s="9" t="n"/>
      <c r="E34" s="9" t="n"/>
      <c r="F34" s="11" t="n"/>
      <c r="G34" s="11" t="n"/>
      <c r="H34" s="11" t="n"/>
      <c r="I34" s="11" t="n"/>
      <c r="J34" s="11" t="n"/>
      <c r="K34" s="12">
        <f>IF(A34="","",COUNTIF(Variants!$A:$A,A34))</f>
        <v/>
      </c>
      <c r="L34" s="12">
        <f>IF(A34="","",COUNTIFS(Variants!$A:$A,A34,Variants!$D:$D,"&lt;&gt;"))</f>
        <v/>
      </c>
      <c r="M34" s="12">
        <f>IF(A34="","",IF(K34=0,"ADD VARIANTS",IF(L34&lt;K34,"MISSING "&amp;(K34-L34)&amp;" STORE SKU",IF(E34="","ADD COVER IMAGE","READY"))))</f>
        <v/>
      </c>
    </row>
    <row r="35">
      <c r="A35" s="9" t="n"/>
      <c r="B35" s="9" t="n"/>
      <c r="C35" s="10" t="n"/>
      <c r="D35" s="9" t="n"/>
      <c r="E35" s="9" t="n"/>
      <c r="F35" s="11" t="n"/>
      <c r="G35" s="11" t="n"/>
      <c r="H35" s="11" t="n"/>
      <c r="I35" s="11" t="n"/>
      <c r="J35" s="11" t="n"/>
      <c r="K35" s="12">
        <f>IF(A35="","",COUNTIF(Variants!$A:$A,A35))</f>
        <v/>
      </c>
      <c r="L35" s="12">
        <f>IF(A35="","",COUNTIFS(Variants!$A:$A,A35,Variants!$D:$D,"&lt;&gt;"))</f>
        <v/>
      </c>
      <c r="M35" s="12">
        <f>IF(A35="","",IF(K35=0,"ADD VARIANTS",IF(L35&lt;K35,"MISSING "&amp;(K35-L35)&amp;" STORE SKU",IF(E35="","ADD COVER IMAGE","READY"))))</f>
        <v/>
      </c>
    </row>
    <row r="36">
      <c r="A36" s="9" t="n"/>
      <c r="B36" s="9" t="n"/>
      <c r="C36" s="10" t="n"/>
      <c r="D36" s="9" t="n"/>
      <c r="E36" s="9" t="n"/>
      <c r="F36" s="11" t="n"/>
      <c r="G36" s="11" t="n"/>
      <c r="H36" s="11" t="n"/>
      <c r="I36" s="11" t="n"/>
      <c r="J36" s="11" t="n"/>
      <c r="K36" s="12">
        <f>IF(A36="","",COUNTIF(Variants!$A:$A,A36))</f>
        <v/>
      </c>
      <c r="L36" s="12">
        <f>IF(A36="","",COUNTIFS(Variants!$A:$A,A36,Variants!$D:$D,"&lt;&gt;"))</f>
        <v/>
      </c>
      <c r="M36" s="12">
        <f>IF(A36="","",IF(K36=0,"ADD VARIANTS",IF(L36&lt;K36,"MISSING "&amp;(K36-L36)&amp;" STORE SKU",IF(E36="","ADD COVER IMAGE","READY"))))</f>
        <v/>
      </c>
    </row>
    <row r="37">
      <c r="A37" s="9" t="n"/>
      <c r="B37" s="9" t="n"/>
      <c r="C37" s="10" t="n"/>
      <c r="D37" s="9" t="n"/>
      <c r="E37" s="9" t="n"/>
      <c r="F37" s="11" t="n"/>
      <c r="G37" s="11" t="n"/>
      <c r="H37" s="11" t="n"/>
      <c r="I37" s="11" t="n"/>
      <c r="J37" s="11" t="n"/>
      <c r="K37" s="12">
        <f>IF(A37="","",COUNTIF(Variants!$A:$A,A37))</f>
        <v/>
      </c>
      <c r="L37" s="12">
        <f>IF(A37="","",COUNTIFS(Variants!$A:$A,A37,Variants!$D:$D,"&lt;&gt;"))</f>
        <v/>
      </c>
      <c r="M37" s="12">
        <f>IF(A37="","",IF(K37=0,"ADD VARIANTS",IF(L37&lt;K37,"MISSING "&amp;(K37-L37)&amp;" STORE SKU",IF(E37="","ADD COVER IMAGE","READY"))))</f>
        <v/>
      </c>
    </row>
    <row r="38">
      <c r="A38" s="9" t="n"/>
      <c r="B38" s="9" t="n"/>
      <c r="C38" s="10" t="n"/>
      <c r="D38" s="9" t="n"/>
      <c r="E38" s="9" t="n"/>
      <c r="F38" s="11" t="n"/>
      <c r="G38" s="11" t="n"/>
      <c r="H38" s="11" t="n"/>
      <c r="I38" s="11" t="n"/>
      <c r="J38" s="11" t="n"/>
      <c r="K38" s="12">
        <f>IF(A38="","",COUNTIF(Variants!$A:$A,A38))</f>
        <v/>
      </c>
      <c r="L38" s="12">
        <f>IF(A38="","",COUNTIFS(Variants!$A:$A,A38,Variants!$D:$D,"&lt;&gt;"))</f>
        <v/>
      </c>
      <c r="M38" s="12">
        <f>IF(A38="","",IF(K38=0,"ADD VARIANTS",IF(L38&lt;K38,"MISSING "&amp;(K38-L38)&amp;" STORE SKU",IF(E38="","ADD COVER IMAGE","READY"))))</f>
        <v/>
      </c>
    </row>
    <row r="39">
      <c r="A39" s="9" t="n"/>
      <c r="B39" s="9" t="n"/>
      <c r="C39" s="10" t="n"/>
      <c r="D39" s="9" t="n"/>
      <c r="E39" s="9" t="n"/>
      <c r="F39" s="11" t="n"/>
      <c r="G39" s="11" t="n"/>
      <c r="H39" s="11" t="n"/>
      <c r="I39" s="11" t="n"/>
      <c r="J39" s="11" t="n"/>
      <c r="K39" s="12">
        <f>IF(A39="","",COUNTIF(Variants!$A:$A,A39))</f>
        <v/>
      </c>
      <c r="L39" s="12">
        <f>IF(A39="","",COUNTIFS(Variants!$A:$A,A39,Variants!$D:$D,"&lt;&gt;"))</f>
        <v/>
      </c>
      <c r="M39" s="12">
        <f>IF(A39="","",IF(K39=0,"ADD VARIANTS",IF(L39&lt;K39,"MISSING "&amp;(K39-L39)&amp;" STORE SKU",IF(E39="","ADD COVER IMAGE","READY"))))</f>
        <v/>
      </c>
    </row>
    <row r="40">
      <c r="A40" s="9" t="n"/>
      <c r="B40" s="9" t="n"/>
      <c r="C40" s="10" t="n"/>
      <c r="D40" s="9" t="n"/>
      <c r="E40" s="9" t="n"/>
      <c r="F40" s="11" t="n"/>
      <c r="G40" s="11" t="n"/>
      <c r="H40" s="11" t="n"/>
      <c r="I40" s="11" t="n"/>
      <c r="J40" s="11" t="n"/>
      <c r="K40" s="12">
        <f>IF(A40="","",COUNTIF(Variants!$A:$A,A40))</f>
        <v/>
      </c>
      <c r="L40" s="12">
        <f>IF(A40="","",COUNTIFS(Variants!$A:$A,A40,Variants!$D:$D,"&lt;&gt;"))</f>
        <v/>
      </c>
      <c r="M40" s="12">
        <f>IF(A40="","",IF(K40=0,"ADD VARIANTS",IF(L40&lt;K40,"MISSING "&amp;(K40-L40)&amp;" STORE SKU",IF(E40="","ADD COVER IMAGE","READY"))))</f>
        <v/>
      </c>
    </row>
    <row r="41">
      <c r="A41" s="9" t="n"/>
      <c r="B41" s="9" t="n"/>
      <c r="C41" s="10" t="n"/>
      <c r="D41" s="9" t="n"/>
      <c r="E41" s="9" t="n"/>
      <c r="F41" s="11" t="n"/>
      <c r="G41" s="11" t="n"/>
      <c r="H41" s="11" t="n"/>
      <c r="I41" s="11" t="n"/>
      <c r="J41" s="11" t="n"/>
      <c r="K41" s="12">
        <f>IF(A41="","",COUNTIF(Variants!$A:$A,A41))</f>
        <v/>
      </c>
      <c r="L41" s="12">
        <f>IF(A41="","",COUNTIFS(Variants!$A:$A,A41,Variants!$D:$D,"&lt;&gt;"))</f>
        <v/>
      </c>
      <c r="M41" s="12">
        <f>IF(A41="","",IF(K41=0,"ADD VARIANTS",IF(L41&lt;K41,"MISSING "&amp;(K41-L41)&amp;" STORE SKU",IF(E41="","ADD COVER IMAGE","READY"))))</f>
        <v/>
      </c>
    </row>
    <row r="42">
      <c r="A42" s="9" t="n"/>
      <c r="B42" s="9" t="n"/>
      <c r="C42" s="10" t="n"/>
      <c r="D42" s="9" t="n"/>
      <c r="E42" s="9" t="n"/>
      <c r="F42" s="11" t="n"/>
      <c r="G42" s="11" t="n"/>
      <c r="H42" s="11" t="n"/>
      <c r="I42" s="11" t="n"/>
      <c r="J42" s="11" t="n"/>
      <c r="K42" s="12">
        <f>IF(A42="","",COUNTIF(Variants!$A:$A,A42))</f>
        <v/>
      </c>
      <c r="L42" s="12">
        <f>IF(A42="","",COUNTIFS(Variants!$A:$A,A42,Variants!$D:$D,"&lt;&gt;"))</f>
        <v/>
      </c>
      <c r="M42" s="12">
        <f>IF(A42="","",IF(K42=0,"ADD VARIANTS",IF(L42&lt;K42,"MISSING "&amp;(K42-L42)&amp;" STORE SKU",IF(E42="","ADD COVER IMAGE","READY"))))</f>
        <v/>
      </c>
    </row>
    <row r="43">
      <c r="A43" s="9" t="n"/>
      <c r="B43" s="9" t="n"/>
      <c r="C43" s="10" t="n"/>
      <c r="D43" s="9" t="n"/>
      <c r="E43" s="9" t="n"/>
      <c r="F43" s="11" t="n"/>
      <c r="G43" s="11" t="n"/>
      <c r="H43" s="11" t="n"/>
      <c r="I43" s="11" t="n"/>
      <c r="J43" s="11" t="n"/>
      <c r="K43" s="12">
        <f>IF(A43="","",COUNTIF(Variants!$A:$A,A43))</f>
        <v/>
      </c>
      <c r="L43" s="12">
        <f>IF(A43="","",COUNTIFS(Variants!$A:$A,A43,Variants!$D:$D,"&lt;&gt;"))</f>
        <v/>
      </c>
      <c r="M43" s="12">
        <f>IF(A43="","",IF(K43=0,"ADD VARIANTS",IF(L43&lt;K43,"MISSING "&amp;(K43-L43)&amp;" STORE SKU",IF(E43="","ADD COVER IMAGE","READY"))))</f>
        <v/>
      </c>
    </row>
    <row r="44">
      <c r="A44" s="9" t="n"/>
      <c r="B44" s="9" t="n"/>
      <c r="C44" s="10" t="n"/>
      <c r="D44" s="9" t="n"/>
      <c r="E44" s="9" t="n"/>
      <c r="F44" s="11" t="n"/>
      <c r="G44" s="11" t="n"/>
      <c r="H44" s="11" t="n"/>
      <c r="I44" s="11" t="n"/>
      <c r="J44" s="11" t="n"/>
      <c r="K44" s="12">
        <f>IF(A44="","",COUNTIF(Variants!$A:$A,A44))</f>
        <v/>
      </c>
      <c r="L44" s="12">
        <f>IF(A44="","",COUNTIFS(Variants!$A:$A,A44,Variants!$D:$D,"&lt;&gt;"))</f>
        <v/>
      </c>
      <c r="M44" s="12">
        <f>IF(A44="","",IF(K44=0,"ADD VARIANTS",IF(L44&lt;K44,"MISSING "&amp;(K44-L44)&amp;" STORE SKU",IF(E44="","ADD COVER IMAGE","READY"))))</f>
        <v/>
      </c>
    </row>
    <row r="45">
      <c r="A45" s="9" t="n"/>
      <c r="B45" s="9" t="n"/>
      <c r="C45" s="10" t="n"/>
      <c r="D45" s="9" t="n"/>
      <c r="E45" s="9" t="n"/>
      <c r="F45" s="11" t="n"/>
      <c r="G45" s="11" t="n"/>
      <c r="H45" s="11" t="n"/>
      <c r="I45" s="11" t="n"/>
      <c r="J45" s="11" t="n"/>
      <c r="K45" s="12">
        <f>IF(A45="","",COUNTIF(Variants!$A:$A,A45))</f>
        <v/>
      </c>
      <c r="L45" s="12">
        <f>IF(A45="","",COUNTIFS(Variants!$A:$A,A45,Variants!$D:$D,"&lt;&gt;"))</f>
        <v/>
      </c>
      <c r="M45" s="12">
        <f>IF(A45="","",IF(K45=0,"ADD VARIANTS",IF(L45&lt;K45,"MISSING "&amp;(K45-L45)&amp;" STORE SKU",IF(E45="","ADD COVER IMAGE","READY"))))</f>
        <v/>
      </c>
    </row>
    <row r="46">
      <c r="A46" s="9" t="n"/>
      <c r="B46" s="9" t="n"/>
      <c r="C46" s="10" t="n"/>
      <c r="D46" s="9" t="n"/>
      <c r="E46" s="9" t="n"/>
      <c r="F46" s="11" t="n"/>
      <c r="G46" s="11" t="n"/>
      <c r="H46" s="11" t="n"/>
      <c r="I46" s="11" t="n"/>
      <c r="J46" s="11" t="n"/>
      <c r="K46" s="12">
        <f>IF(A46="","",COUNTIF(Variants!$A:$A,A46))</f>
        <v/>
      </c>
      <c r="L46" s="12">
        <f>IF(A46="","",COUNTIFS(Variants!$A:$A,A46,Variants!$D:$D,"&lt;&gt;"))</f>
        <v/>
      </c>
      <c r="M46" s="12">
        <f>IF(A46="","",IF(K46=0,"ADD VARIANTS",IF(L46&lt;K46,"MISSING "&amp;(K46-L46)&amp;" STORE SKU",IF(E46="","ADD COVER IMAGE","READY"))))</f>
        <v/>
      </c>
    </row>
    <row r="47">
      <c r="A47" s="9" t="n"/>
      <c r="B47" s="9" t="n"/>
      <c r="C47" s="10" t="n"/>
      <c r="D47" s="9" t="n"/>
      <c r="E47" s="9" t="n"/>
      <c r="F47" s="11" t="n"/>
      <c r="G47" s="11" t="n"/>
      <c r="H47" s="11" t="n"/>
      <c r="I47" s="11" t="n"/>
      <c r="J47" s="11" t="n"/>
      <c r="K47" s="12">
        <f>IF(A47="","",COUNTIF(Variants!$A:$A,A47))</f>
        <v/>
      </c>
      <c r="L47" s="12">
        <f>IF(A47="","",COUNTIFS(Variants!$A:$A,A47,Variants!$D:$D,"&lt;&gt;"))</f>
        <v/>
      </c>
      <c r="M47" s="12">
        <f>IF(A47="","",IF(K47=0,"ADD VARIANTS",IF(L47&lt;K47,"MISSING "&amp;(K47-L47)&amp;" STORE SKU",IF(E47="","ADD COVER IMAGE","READY"))))</f>
        <v/>
      </c>
    </row>
    <row r="48">
      <c r="A48" s="9" t="n"/>
      <c r="B48" s="9" t="n"/>
      <c r="C48" s="10" t="n"/>
      <c r="D48" s="9" t="n"/>
      <c r="E48" s="9" t="n"/>
      <c r="F48" s="11" t="n"/>
      <c r="G48" s="11" t="n"/>
      <c r="H48" s="11" t="n"/>
      <c r="I48" s="11" t="n"/>
      <c r="J48" s="11" t="n"/>
      <c r="K48" s="12">
        <f>IF(A48="","",COUNTIF(Variants!$A:$A,A48))</f>
        <v/>
      </c>
      <c r="L48" s="12">
        <f>IF(A48="","",COUNTIFS(Variants!$A:$A,A48,Variants!$D:$D,"&lt;&gt;"))</f>
        <v/>
      </c>
      <c r="M48" s="12">
        <f>IF(A48="","",IF(K48=0,"ADD VARIANTS",IF(L48&lt;K48,"MISSING "&amp;(K48-L48)&amp;" STORE SKU",IF(E48="","ADD COVER IMAGE","READY"))))</f>
        <v/>
      </c>
    </row>
    <row r="49">
      <c r="A49" s="9" t="n"/>
      <c r="B49" s="9" t="n"/>
      <c r="C49" s="10" t="n"/>
      <c r="D49" s="9" t="n"/>
      <c r="E49" s="9" t="n"/>
      <c r="F49" s="11" t="n"/>
      <c r="G49" s="11" t="n"/>
      <c r="H49" s="11" t="n"/>
      <c r="I49" s="11" t="n"/>
      <c r="J49" s="11" t="n"/>
      <c r="K49" s="12">
        <f>IF(A49="","",COUNTIF(Variants!$A:$A,A49))</f>
        <v/>
      </c>
      <c r="L49" s="12">
        <f>IF(A49="","",COUNTIFS(Variants!$A:$A,A49,Variants!$D:$D,"&lt;&gt;"))</f>
        <v/>
      </c>
      <c r="M49" s="12">
        <f>IF(A49="","",IF(K49=0,"ADD VARIANTS",IF(L49&lt;K49,"MISSING "&amp;(K49-L49)&amp;" STORE SKU",IF(E49="","ADD COVER IMAGE","READY"))))</f>
        <v/>
      </c>
    </row>
    <row r="50">
      <c r="A50" s="9" t="n"/>
      <c r="B50" s="9" t="n"/>
      <c r="C50" s="10" t="n"/>
      <c r="D50" s="9" t="n"/>
      <c r="E50" s="9" t="n"/>
      <c r="F50" s="11" t="n"/>
      <c r="G50" s="11" t="n"/>
      <c r="H50" s="11" t="n"/>
      <c r="I50" s="11" t="n"/>
      <c r="J50" s="11" t="n"/>
      <c r="K50" s="12">
        <f>IF(A50="","",COUNTIF(Variants!$A:$A,A50))</f>
        <v/>
      </c>
      <c r="L50" s="12">
        <f>IF(A50="","",COUNTIFS(Variants!$A:$A,A50,Variants!$D:$D,"&lt;&gt;"))</f>
        <v/>
      </c>
      <c r="M50" s="12">
        <f>IF(A50="","",IF(K50=0,"ADD VARIANTS",IF(L50&lt;K50,"MISSING "&amp;(K50-L50)&amp;" STORE SKU",IF(E50="","ADD COVER IMAGE","READY"))))</f>
        <v/>
      </c>
    </row>
    <row r="51">
      <c r="A51" s="9" t="n"/>
      <c r="B51" s="9" t="n"/>
      <c r="C51" s="10" t="n"/>
      <c r="D51" s="9" t="n"/>
      <c r="E51" s="9" t="n"/>
      <c r="F51" s="11" t="n"/>
      <c r="G51" s="11" t="n"/>
      <c r="H51" s="11" t="n"/>
      <c r="I51" s="11" t="n"/>
      <c r="J51" s="11" t="n"/>
      <c r="K51" s="12">
        <f>IF(A51="","",COUNTIF(Variants!$A:$A,A51))</f>
        <v/>
      </c>
      <c r="L51" s="12">
        <f>IF(A51="","",COUNTIFS(Variants!$A:$A,A51,Variants!$D:$D,"&lt;&gt;"))</f>
        <v/>
      </c>
      <c r="M51" s="12">
        <f>IF(A51="","",IF(K51=0,"ADD VARIANTS",IF(L51&lt;K51,"MISSING "&amp;(K51-L51)&amp;" STORE SKU",IF(E51="","ADD COVER IMAGE","READY"))))</f>
        <v/>
      </c>
    </row>
    <row r="52">
      <c r="A52" s="9" t="n"/>
      <c r="B52" s="9" t="n"/>
      <c r="C52" s="10" t="n"/>
      <c r="D52" s="9" t="n"/>
      <c r="E52" s="9" t="n"/>
      <c r="F52" s="11" t="n"/>
      <c r="G52" s="11" t="n"/>
      <c r="H52" s="11" t="n"/>
      <c r="I52" s="11" t="n"/>
      <c r="J52" s="11" t="n"/>
      <c r="K52" s="12">
        <f>IF(A52="","",COUNTIF(Variants!$A:$A,A52))</f>
        <v/>
      </c>
      <c r="L52" s="12">
        <f>IF(A52="","",COUNTIFS(Variants!$A:$A,A52,Variants!$D:$D,"&lt;&gt;"))</f>
        <v/>
      </c>
      <c r="M52" s="12">
        <f>IF(A52="","",IF(K52=0,"ADD VARIANTS",IF(L52&lt;K52,"MISSING "&amp;(K52-L52)&amp;" STORE SKU",IF(E52="","ADD COVER IMAGE","READY"))))</f>
        <v/>
      </c>
    </row>
    <row r="53">
      <c r="A53" s="9" t="n"/>
      <c r="B53" s="9" t="n"/>
      <c r="C53" s="10" t="n"/>
      <c r="D53" s="9" t="n"/>
      <c r="E53" s="9" t="n"/>
      <c r="F53" s="11" t="n"/>
      <c r="G53" s="11" t="n"/>
      <c r="H53" s="11" t="n"/>
      <c r="I53" s="11" t="n"/>
      <c r="J53" s="11" t="n"/>
      <c r="K53" s="12">
        <f>IF(A53="","",COUNTIF(Variants!$A:$A,A53))</f>
        <v/>
      </c>
      <c r="L53" s="12">
        <f>IF(A53="","",COUNTIFS(Variants!$A:$A,A53,Variants!$D:$D,"&lt;&gt;"))</f>
        <v/>
      </c>
      <c r="M53" s="12">
        <f>IF(A53="","",IF(K53=0,"ADD VARIANTS",IF(L53&lt;K53,"MISSING "&amp;(K53-L53)&amp;" STORE SKU",IF(E53="","ADD COVER IMAGE","READY"))))</f>
        <v/>
      </c>
    </row>
    <row r="54">
      <c r="A54" s="9" t="n"/>
      <c r="B54" s="9" t="n"/>
      <c r="C54" s="10" t="n"/>
      <c r="D54" s="9" t="n"/>
      <c r="E54" s="9" t="n"/>
      <c r="F54" s="11" t="n"/>
      <c r="G54" s="11" t="n"/>
      <c r="H54" s="11" t="n"/>
      <c r="I54" s="11" t="n"/>
      <c r="J54" s="11" t="n"/>
      <c r="K54" s="12">
        <f>IF(A54="","",COUNTIF(Variants!$A:$A,A54))</f>
        <v/>
      </c>
      <c r="L54" s="12">
        <f>IF(A54="","",COUNTIFS(Variants!$A:$A,A54,Variants!$D:$D,"&lt;&gt;"))</f>
        <v/>
      </c>
      <c r="M54" s="12">
        <f>IF(A54="","",IF(K54=0,"ADD VARIANTS",IF(L54&lt;K54,"MISSING "&amp;(K54-L54)&amp;" STORE SKU",IF(E54="","ADD COVER IMAGE","READY"))))</f>
        <v/>
      </c>
    </row>
    <row r="55">
      <c r="A55" s="9" t="n"/>
      <c r="B55" s="9" t="n"/>
      <c r="C55" s="10" t="n"/>
      <c r="D55" s="9" t="n"/>
      <c r="E55" s="9" t="n"/>
      <c r="F55" s="11" t="n"/>
      <c r="G55" s="11" t="n"/>
      <c r="H55" s="11" t="n"/>
      <c r="I55" s="11" t="n"/>
      <c r="J55" s="11" t="n"/>
      <c r="K55" s="12">
        <f>IF(A55="","",COUNTIF(Variants!$A:$A,A55))</f>
        <v/>
      </c>
      <c r="L55" s="12">
        <f>IF(A55="","",COUNTIFS(Variants!$A:$A,A55,Variants!$D:$D,"&lt;&gt;"))</f>
        <v/>
      </c>
      <c r="M55" s="12">
        <f>IF(A55="","",IF(K55=0,"ADD VARIANTS",IF(L55&lt;K55,"MISSING "&amp;(K55-L55)&amp;" STORE SKU",IF(E55="","ADD COVER IMAGE","READY"))))</f>
        <v/>
      </c>
    </row>
    <row r="56">
      <c r="A56" s="9" t="n"/>
      <c r="B56" s="9" t="n"/>
      <c r="C56" s="10" t="n"/>
      <c r="D56" s="9" t="n"/>
      <c r="E56" s="9" t="n"/>
      <c r="F56" s="11" t="n"/>
      <c r="G56" s="11" t="n"/>
      <c r="H56" s="11" t="n"/>
      <c r="I56" s="11" t="n"/>
      <c r="J56" s="11" t="n"/>
      <c r="K56" s="12">
        <f>IF(A56="","",COUNTIF(Variants!$A:$A,A56))</f>
        <v/>
      </c>
      <c r="L56" s="12">
        <f>IF(A56="","",COUNTIFS(Variants!$A:$A,A56,Variants!$D:$D,"&lt;&gt;"))</f>
        <v/>
      </c>
      <c r="M56" s="12">
        <f>IF(A56="","",IF(K56=0,"ADD VARIANTS",IF(L56&lt;K56,"MISSING "&amp;(K56-L56)&amp;" STORE SKU",IF(E56="","ADD COVER IMAGE","READY"))))</f>
        <v/>
      </c>
    </row>
    <row r="57">
      <c r="A57" s="9" t="n"/>
      <c r="B57" s="9" t="n"/>
      <c r="C57" s="10" t="n"/>
      <c r="D57" s="9" t="n"/>
      <c r="E57" s="9" t="n"/>
      <c r="F57" s="11" t="n"/>
      <c r="G57" s="11" t="n"/>
      <c r="H57" s="11" t="n"/>
      <c r="I57" s="11" t="n"/>
      <c r="J57" s="11" t="n"/>
      <c r="K57" s="12">
        <f>IF(A57="","",COUNTIF(Variants!$A:$A,A57))</f>
        <v/>
      </c>
      <c r="L57" s="12">
        <f>IF(A57="","",COUNTIFS(Variants!$A:$A,A57,Variants!$D:$D,"&lt;&gt;"))</f>
        <v/>
      </c>
      <c r="M57" s="12">
        <f>IF(A57="","",IF(K57=0,"ADD VARIANTS",IF(L57&lt;K57,"MISSING "&amp;(K57-L57)&amp;" STORE SKU",IF(E57="","ADD COVER IMAGE","READY"))))</f>
        <v/>
      </c>
    </row>
    <row r="58">
      <c r="A58" s="9" t="n"/>
      <c r="B58" s="9" t="n"/>
      <c r="C58" s="10" t="n"/>
      <c r="D58" s="9" t="n"/>
      <c r="E58" s="9" t="n"/>
      <c r="F58" s="11" t="n"/>
      <c r="G58" s="11" t="n"/>
      <c r="H58" s="11" t="n"/>
      <c r="I58" s="11" t="n"/>
      <c r="J58" s="11" t="n"/>
      <c r="K58" s="12">
        <f>IF(A58="","",COUNTIF(Variants!$A:$A,A58))</f>
        <v/>
      </c>
      <c r="L58" s="12">
        <f>IF(A58="","",COUNTIFS(Variants!$A:$A,A58,Variants!$D:$D,"&lt;&gt;"))</f>
        <v/>
      </c>
      <c r="M58" s="12">
        <f>IF(A58="","",IF(K58=0,"ADD VARIANTS",IF(L58&lt;K58,"MISSING "&amp;(K58-L58)&amp;" STORE SKU",IF(E58="","ADD COVER IMAGE","READY"))))</f>
        <v/>
      </c>
    </row>
    <row r="59">
      <c r="A59" s="9" t="n"/>
      <c r="B59" s="9" t="n"/>
      <c r="C59" s="10" t="n"/>
      <c r="D59" s="9" t="n"/>
      <c r="E59" s="9" t="n"/>
      <c r="F59" s="11" t="n"/>
      <c r="G59" s="11" t="n"/>
      <c r="H59" s="11" t="n"/>
      <c r="I59" s="11" t="n"/>
      <c r="J59" s="11" t="n"/>
      <c r="K59" s="12">
        <f>IF(A59="","",COUNTIF(Variants!$A:$A,A59))</f>
        <v/>
      </c>
      <c r="L59" s="12">
        <f>IF(A59="","",COUNTIFS(Variants!$A:$A,A59,Variants!$D:$D,"&lt;&gt;"))</f>
        <v/>
      </c>
      <c r="M59" s="12">
        <f>IF(A59="","",IF(K59=0,"ADD VARIANTS",IF(L59&lt;K59,"MISSING "&amp;(K59-L59)&amp;" STORE SKU",IF(E59="","ADD COVER IMAGE","READY"))))</f>
        <v/>
      </c>
    </row>
    <row r="60">
      <c r="A60" s="9" t="n"/>
      <c r="B60" s="9" t="n"/>
      <c r="C60" s="10" t="n"/>
      <c r="D60" s="9" t="n"/>
      <c r="E60" s="9" t="n"/>
      <c r="F60" s="11" t="n"/>
      <c r="G60" s="11" t="n"/>
      <c r="H60" s="11" t="n"/>
      <c r="I60" s="11" t="n"/>
      <c r="J60" s="11" t="n"/>
      <c r="K60" s="12">
        <f>IF(A60="","",COUNTIF(Variants!$A:$A,A60))</f>
        <v/>
      </c>
      <c r="L60" s="12">
        <f>IF(A60="","",COUNTIFS(Variants!$A:$A,A60,Variants!$D:$D,"&lt;&gt;"))</f>
        <v/>
      </c>
      <c r="M60" s="12">
        <f>IF(A60="","",IF(K60=0,"ADD VARIANTS",IF(L60&lt;K60,"MISSING "&amp;(K60-L60)&amp;" STORE SKU",IF(E60="","ADD COVER IMAGE","READY"))))</f>
        <v/>
      </c>
    </row>
  </sheetData>
  <dataValidations count="2">
    <dataValidation sqref="D2:D60" showDropDown="0" showInputMessage="0" showErrorMessage="0" allowBlank="1" type="list">
      <formula1>=Lists!$B$2:$B$3</formula1>
    </dataValidation>
    <dataValidation sqref="C2:C60" showDropDown="0" showInputMessage="0" showErrorMessage="0" allowBlank="1" errorTitle="Price" error="Enter the selling price in rupees, e.g. 599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0"/>
  <sheetViews>
    <sheetView zoomScale="11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40" customWidth="1" min="4" max="4"/>
    <col width="44" customWidth="1" min="5" max="5"/>
    <col width="14" customWidth="1" min="6" max="6"/>
    <col width="22" customWidth="1" min="7" max="7"/>
    <col width="13" customWidth="1" min="8" max="8"/>
    <col width="13" customWidth="1" min="9" max="9"/>
    <col width="12" customWidth="1" min="10" max="10"/>
    <col width="26" customWidth="1" min="11" max="11"/>
  </cols>
  <sheetData>
    <row r="1" ht="32" customHeight="1">
      <c r="A1" s="8" t="inlineStr">
        <is>
          <t>Product name *</t>
        </is>
      </c>
      <c r="B1" s="8" t="inlineStr">
        <is>
          <t>Colour *</t>
        </is>
      </c>
      <c r="C1" s="8" t="inlineStr">
        <is>
          <t>Size *</t>
        </is>
      </c>
      <c r="D1" s="8" t="inlineStr">
        <is>
          <t>Qikink Store SKU * (v-…)</t>
        </is>
      </c>
      <c r="E1" s="8" t="inlineStr">
        <is>
          <t>Colour image URL</t>
        </is>
      </c>
      <c r="F1" s="8" t="inlineStr">
        <is>
          <t>Price override ₹</t>
        </is>
      </c>
      <c r="G1" s="8" t="inlineStr">
        <is>
          <t>Qikink Product SKU (reference)</t>
        </is>
      </c>
      <c r="H1" s="8" t="inlineStr">
        <is>
          <t>Qikink cost ₹</t>
        </is>
      </c>
      <c r="I1" s="8" t="inlineStr">
        <is>
          <t>Final price ₹</t>
        </is>
      </c>
      <c r="J1" s="8" t="inlineStr">
        <is>
          <t>Margin ₹</t>
        </is>
      </c>
      <c r="K1" s="8" t="inlineStr">
        <is>
          <t>Check</t>
        </is>
      </c>
    </row>
    <row r="2">
      <c r="A2" s="9" t="inlineStr">
        <is>
          <t>Unisex Classic Crew T-Shirt</t>
        </is>
      </c>
      <c r="B2" s="9" t="inlineStr">
        <is>
          <t>White</t>
        </is>
      </c>
      <c r="C2" s="9" t="inlineStr">
        <is>
          <t>M</t>
        </is>
      </c>
      <c r="D2" s="9" t="inlineStr">
        <is>
          <t>v-9Rqh0iKDaVZW18UNNhEhubTepA3d8nuc</t>
        </is>
      </c>
      <c r="E2" s="11" t="inlineStr">
        <is>
          <t>https://qikink-assets.s3.ap-south-1.amazonaws.com/clients/621544/clientProducts/32422268/images/Front_1_c_1.jpg</t>
        </is>
      </c>
      <c r="F2" s="13" t="n"/>
      <c r="G2" s="11" t="inlineStr">
        <is>
          <t>MRnHs-Wh-M</t>
        </is>
      </c>
      <c r="H2" s="13" t="n">
        <v>252</v>
      </c>
      <c r="I2" s="14">
        <f>IF(A2="","",IF(F2&lt;&gt;"",F2,IFERROR(INDEX(Products!$C:$C,MATCH(A2,Products!$A:$A,0)),"")))</f>
        <v/>
      </c>
      <c r="J2" s="14">
        <f>IF(OR(I2="",H2=""),"",I2-H2)</f>
        <v/>
      </c>
      <c r="K2" s="12">
        <f>IF(A2="","",IF(ISNA(MATCH(A2,Products!$A:$A,0)),"NAME NOT IN PRODUCTS",IF(D2="","ADD STORE SKU",IF(LEFT(D2,2)&lt;&gt;"v-","CHECK: STORE SKU STARTS WITH v-",IF(COUNTIF($D:$D,D2)&gt;1,"DUPLICATE STORE SKU",IF(COUNTIFS($A:$A,A2,$B:$B,B2,$C:$C,C2)&gt;1,"DUPLICATE COLOUR + SIZE","OK"))))))</f>
        <v/>
      </c>
    </row>
    <row r="3">
      <c r="A3" s="9" t="inlineStr">
        <is>
          <t>Unisex Classic Crew T-Shirt</t>
        </is>
      </c>
      <c r="B3" s="9" t="inlineStr">
        <is>
          <t>White</t>
        </is>
      </c>
      <c r="C3" s="9" t="inlineStr">
        <is>
          <t>L</t>
        </is>
      </c>
      <c r="D3" s="9" t="inlineStr">
        <is>
          <t>v-9Rqh0iKDaVZW18UNNhEhubTepA3d8nud</t>
        </is>
      </c>
      <c r="E3" s="11" t="inlineStr">
        <is>
          <t>https://qikink-assets.s3.ap-south-1.amazonaws.com/clients/621544/clientProducts/32422268/images/Front_1_c_1.jpg</t>
        </is>
      </c>
      <c r="F3" s="13" t="n"/>
      <c r="G3" s="11" t="inlineStr">
        <is>
          <t>MRnHs-Wh-L</t>
        </is>
      </c>
      <c r="H3" s="13" t="n">
        <v>252</v>
      </c>
      <c r="I3" s="14">
        <f>IF(A3="","",IF(F3&lt;&gt;"",F3,IFERROR(INDEX(Products!$C:$C,MATCH(A3,Products!$A:$A,0)),"")))</f>
        <v/>
      </c>
      <c r="J3" s="14">
        <f>IF(OR(I3="",H3=""),"",I3-H3)</f>
        <v/>
      </c>
      <c r="K3" s="12">
        <f>IF(A3="","",IF(ISNA(MATCH(A3,Products!$A:$A,0)),"NAME NOT IN PRODUCTS",IF(D3="","ADD STORE SKU",IF(LEFT(D3,2)&lt;&gt;"v-","CHECK: STORE SKU STARTS WITH v-",IF(COUNTIF($D:$D,D3)&gt;1,"DUPLICATE STORE SKU",IF(COUNTIFS($A:$A,A3,$B:$B,B3,$C:$C,C3)&gt;1,"DUPLICATE COLOUR + SIZE","OK"))))))</f>
        <v/>
      </c>
    </row>
    <row r="4">
      <c r="A4" s="9" t="inlineStr">
        <is>
          <t>Unisex Classic Crew T-Shirt</t>
        </is>
      </c>
      <c r="B4" s="9" t="inlineStr">
        <is>
          <t>White</t>
        </is>
      </c>
      <c r="C4" s="9" t="inlineStr">
        <is>
          <t>XL</t>
        </is>
      </c>
      <c r="D4" s="9" t="inlineStr">
        <is>
          <t>v-9Rqh0iKDaVZW18UNNhEhubTepA3d8nue</t>
        </is>
      </c>
      <c r="E4" s="11" t="inlineStr">
        <is>
          <t>https://qikink-assets.s3.ap-south-1.amazonaws.com/clients/621544/clientProducts/32422268/images/Front_1_c_1.jpg</t>
        </is>
      </c>
      <c r="F4" s="13" t="n"/>
      <c r="G4" s="11" t="inlineStr">
        <is>
          <t>MRnHs-Wh-XL</t>
        </is>
      </c>
      <c r="H4" s="13" t="n">
        <v>252</v>
      </c>
      <c r="I4" s="14">
        <f>IF(A4="","",IF(F4&lt;&gt;"",F4,IFERROR(INDEX(Products!$C:$C,MATCH(A4,Products!$A:$A,0)),"")))</f>
        <v/>
      </c>
      <c r="J4" s="14">
        <f>IF(OR(I4="",H4=""),"",I4-H4)</f>
        <v/>
      </c>
      <c r="K4" s="12">
        <f>IF(A4="","",IF(ISNA(MATCH(A4,Products!$A:$A,0)),"NAME NOT IN PRODUCTS",IF(D4="","ADD STORE SKU",IF(LEFT(D4,2)&lt;&gt;"v-","CHECK: STORE SKU STARTS WITH v-",IF(COUNTIF($D:$D,D4)&gt;1,"DUPLICATE STORE SKU",IF(COUNTIFS($A:$A,A4,$B:$B,B4,$C:$C,C4)&gt;1,"DUPLICATE COLOUR + SIZE","OK"))))))</f>
        <v/>
      </c>
    </row>
    <row r="5">
      <c r="A5" s="9" t="inlineStr">
        <is>
          <t>Unisex Classic Crew T-Shirt</t>
        </is>
      </c>
      <c r="B5" s="9" t="inlineStr">
        <is>
          <t>White</t>
        </is>
      </c>
      <c r="C5" s="9" t="inlineStr">
        <is>
          <t>XXL</t>
        </is>
      </c>
      <c r="D5" s="9" t="inlineStr">
        <is>
          <t>v-9Rqh0iKDaVZW18UNNhEhubTepA3d8nuf</t>
        </is>
      </c>
      <c r="E5" s="11" t="inlineStr">
        <is>
          <t>https://qikink-assets.s3.ap-south-1.amazonaws.com/clients/621544/clientProducts/32422268/images/Front_1_c_1.jpg</t>
        </is>
      </c>
      <c r="F5" s="13" t="n"/>
      <c r="G5" s="11" t="inlineStr">
        <is>
          <t>MRnHs-Wh-XXL</t>
        </is>
      </c>
      <c r="H5" s="13" t="n">
        <v>252</v>
      </c>
      <c r="I5" s="14">
        <f>IF(A5="","",IF(F5&lt;&gt;"",F5,IFERROR(INDEX(Products!$C:$C,MATCH(A5,Products!$A:$A,0)),"")))</f>
        <v/>
      </c>
      <c r="J5" s="14">
        <f>IF(OR(I5="",H5=""),"",I5-H5)</f>
        <v/>
      </c>
      <c r="K5" s="12">
        <f>IF(A5="","",IF(ISNA(MATCH(A5,Products!$A:$A,0)),"NAME NOT IN PRODUCTS",IF(D5="","ADD STORE SKU",IF(LEFT(D5,2)&lt;&gt;"v-","CHECK: STORE SKU STARTS WITH v-",IF(COUNTIF($D:$D,D5)&gt;1,"DUPLICATE STORE SKU",IF(COUNTIFS($A:$A,A5,$B:$B,B5,$C:$C,C5)&gt;1,"DUPLICATE COLOUR + SIZE","OK"))))))</f>
        <v/>
      </c>
    </row>
    <row r="6">
      <c r="A6" s="9" t="inlineStr">
        <is>
          <t>Unisex Classic Crew T-Shirt</t>
        </is>
      </c>
      <c r="B6" s="9" t="inlineStr">
        <is>
          <t>Navy Blue</t>
        </is>
      </c>
      <c r="C6" s="9" t="inlineStr">
        <is>
          <t>M</t>
        </is>
      </c>
      <c r="D6" s="9" t="inlineStr">
        <is>
          <t>v-9Rqh0iKDaVZW18UNNhEhubTepA3d8nuY</t>
        </is>
      </c>
      <c r="E6" s="11" t="n"/>
      <c r="F6" s="13" t="n"/>
      <c r="G6" s="11" t="inlineStr">
        <is>
          <t>MRnHs-Nb-M</t>
        </is>
      </c>
      <c r="H6" s="13" t="n">
        <v>304.5</v>
      </c>
      <c r="I6" s="14">
        <f>IF(A6="","",IF(F6&lt;&gt;"",F6,IFERROR(INDEX(Products!$C:$C,MATCH(A6,Products!$A:$A,0)),"")))</f>
        <v/>
      </c>
      <c r="J6" s="14">
        <f>IF(OR(I6="",H6=""),"",I6-H6)</f>
        <v/>
      </c>
      <c r="K6" s="12">
        <f>IF(A6="","",IF(ISNA(MATCH(A6,Products!$A:$A,0)),"NAME NOT IN PRODUCTS",IF(D6="","ADD STORE SKU",IF(LEFT(D6,2)&lt;&gt;"v-","CHECK: STORE SKU STARTS WITH v-",IF(COUNTIF($D:$D,D6)&gt;1,"DUPLICATE STORE SKU",IF(COUNTIFS($A:$A,A6,$B:$B,B6,$C:$C,C6)&gt;1,"DUPLICATE COLOUR + SIZE","OK"))))))</f>
        <v/>
      </c>
    </row>
    <row r="7">
      <c r="A7" s="9" t="inlineStr">
        <is>
          <t>Unisex Classic Crew T-Shirt</t>
        </is>
      </c>
      <c r="B7" s="9" t="inlineStr">
        <is>
          <t>Navy Blue</t>
        </is>
      </c>
      <c r="C7" s="9" t="inlineStr">
        <is>
          <t>L</t>
        </is>
      </c>
      <c r="D7" s="9" t="inlineStr">
        <is>
          <t>v-9Rqh0iKDaVZW18UNNhEhubTepA3d8nuZ</t>
        </is>
      </c>
      <c r="E7" s="11" t="n"/>
      <c r="F7" s="13" t="n"/>
      <c r="G7" s="11" t="inlineStr">
        <is>
          <t>MRnHs-Nb-L</t>
        </is>
      </c>
      <c r="H7" s="13" t="n">
        <v>304.5</v>
      </c>
      <c r="I7" s="14">
        <f>IF(A7="","",IF(F7&lt;&gt;"",F7,IFERROR(INDEX(Products!$C:$C,MATCH(A7,Products!$A:$A,0)),"")))</f>
        <v/>
      </c>
      <c r="J7" s="14">
        <f>IF(OR(I7="",H7=""),"",I7-H7)</f>
        <v/>
      </c>
      <c r="K7" s="12">
        <f>IF(A7="","",IF(ISNA(MATCH(A7,Products!$A:$A,0)),"NAME NOT IN PRODUCTS",IF(D7="","ADD STORE SKU",IF(LEFT(D7,2)&lt;&gt;"v-","CHECK: STORE SKU STARTS WITH v-",IF(COUNTIF($D:$D,D7)&gt;1,"DUPLICATE STORE SKU",IF(COUNTIFS($A:$A,A7,$B:$B,B7,$C:$C,C7)&gt;1,"DUPLICATE COLOUR + SIZE","OK"))))))</f>
        <v/>
      </c>
    </row>
    <row r="8">
      <c r="A8" s="9" t="inlineStr">
        <is>
          <t>Unisex Classic Crew T-Shirt</t>
        </is>
      </c>
      <c r="B8" s="9" t="inlineStr">
        <is>
          <t>Navy Blue</t>
        </is>
      </c>
      <c r="C8" s="9" t="inlineStr">
        <is>
          <t>XL</t>
        </is>
      </c>
      <c r="D8" s="9" t="inlineStr">
        <is>
          <t>v-9Rqh0iKDaVZW18UNNhEhubTepA3d8nua</t>
        </is>
      </c>
      <c r="E8" s="11" t="n"/>
      <c r="F8" s="13" t="n"/>
      <c r="G8" s="11" t="inlineStr">
        <is>
          <t>MRnHs-Nb-XL</t>
        </is>
      </c>
      <c r="H8" s="13" t="n">
        <v>304.5</v>
      </c>
      <c r="I8" s="14">
        <f>IF(A8="","",IF(F8&lt;&gt;"",F8,IFERROR(INDEX(Products!$C:$C,MATCH(A8,Products!$A:$A,0)),"")))</f>
        <v/>
      </c>
      <c r="J8" s="14">
        <f>IF(OR(I8="",H8=""),"",I8-H8)</f>
        <v/>
      </c>
      <c r="K8" s="12">
        <f>IF(A8="","",IF(ISNA(MATCH(A8,Products!$A:$A,0)),"NAME NOT IN PRODUCTS",IF(D8="","ADD STORE SKU",IF(LEFT(D8,2)&lt;&gt;"v-","CHECK: STORE SKU STARTS WITH v-",IF(COUNTIF($D:$D,D8)&gt;1,"DUPLICATE STORE SKU",IF(COUNTIFS($A:$A,A8,$B:$B,B8,$C:$C,C8)&gt;1,"DUPLICATE COLOUR + SIZE","OK"))))))</f>
        <v/>
      </c>
    </row>
    <row r="9">
      <c r="A9" s="9" t="inlineStr">
        <is>
          <t>Unisex Classic Crew T-Shirt</t>
        </is>
      </c>
      <c r="B9" s="9" t="inlineStr">
        <is>
          <t>Navy Blue</t>
        </is>
      </c>
      <c r="C9" s="9" t="inlineStr">
        <is>
          <t>XXL</t>
        </is>
      </c>
      <c r="D9" s="9" t="inlineStr">
        <is>
          <t>v-9Rqh0iKDaVZW18UNNhEhubTepA3d8nub</t>
        </is>
      </c>
      <c r="E9" s="11" t="n"/>
      <c r="F9" s="13" t="n"/>
      <c r="G9" s="11" t="inlineStr">
        <is>
          <t>MRnHs-Nb-XXL</t>
        </is>
      </c>
      <c r="H9" s="13" t="n">
        <v>304.5</v>
      </c>
      <c r="I9" s="14">
        <f>IF(A9="","",IF(F9&lt;&gt;"",F9,IFERROR(INDEX(Products!$C:$C,MATCH(A9,Products!$A:$A,0)),"")))</f>
        <v/>
      </c>
      <c r="J9" s="14">
        <f>IF(OR(I9="",H9=""),"",I9-H9)</f>
        <v/>
      </c>
      <c r="K9" s="12">
        <f>IF(A9="","",IF(ISNA(MATCH(A9,Products!$A:$A,0)),"NAME NOT IN PRODUCTS",IF(D9="","ADD STORE SKU",IF(LEFT(D9,2)&lt;&gt;"v-","CHECK: STORE SKU STARTS WITH v-",IF(COUNTIF($D:$D,D9)&gt;1,"DUPLICATE STORE SKU",IF(COUNTIFS($A:$A,A9,$B:$B,B9,$C:$C,C9)&gt;1,"DUPLICATE COLOUR + SIZE","OK"))))))</f>
        <v/>
      </c>
    </row>
    <row r="10">
      <c r="A10" s="9" t="inlineStr">
        <is>
          <t>Unisex Classic Crew T-Shirt</t>
        </is>
      </c>
      <c r="B10" s="9" t="inlineStr">
        <is>
          <t>Grey Melange</t>
        </is>
      </c>
      <c r="C10" s="9" t="inlineStr">
        <is>
          <t>M</t>
        </is>
      </c>
      <c r="D10" s="9" t="inlineStr">
        <is>
          <t>v-9Rqh0iKDaVZW18UNNhEhubTepA3d8nuU</t>
        </is>
      </c>
      <c r="E10" s="11" t="n"/>
      <c r="F10" s="13" t="n"/>
      <c r="G10" s="11" t="inlineStr">
        <is>
          <t>MRnHs-Gm-M</t>
        </is>
      </c>
      <c r="H10" s="13" t="n">
        <v>304.5</v>
      </c>
      <c r="I10" s="14">
        <f>IF(A10="","",IF(F10&lt;&gt;"",F10,IFERROR(INDEX(Products!$C:$C,MATCH(A10,Products!$A:$A,0)),"")))</f>
        <v/>
      </c>
      <c r="J10" s="14">
        <f>IF(OR(I10="",H10=""),"",I10-H10)</f>
        <v/>
      </c>
      <c r="K10" s="12">
        <f>IF(A10="","",IF(ISNA(MATCH(A10,Products!$A:$A,0)),"NAME NOT IN PRODUCTS",IF(D10="","ADD STORE SKU",IF(LEFT(D10,2)&lt;&gt;"v-","CHECK: STORE SKU STARTS WITH v-",IF(COUNTIF($D:$D,D10)&gt;1,"DUPLICATE STORE SKU",IF(COUNTIFS($A:$A,A10,$B:$B,B10,$C:$C,C10)&gt;1,"DUPLICATE COLOUR + SIZE","OK"))))))</f>
        <v/>
      </c>
    </row>
    <row r="11">
      <c r="A11" s="9" t="inlineStr">
        <is>
          <t>Unisex Classic Crew T-Shirt</t>
        </is>
      </c>
      <c r="B11" s="9" t="inlineStr">
        <is>
          <t>Grey Melange</t>
        </is>
      </c>
      <c r="C11" s="9" t="inlineStr">
        <is>
          <t>L</t>
        </is>
      </c>
      <c r="D11" s="9" t="inlineStr">
        <is>
          <t>v-9Rqh0iKDaVZW18UNNhEhubTepA3d8nuV</t>
        </is>
      </c>
      <c r="E11" s="11" t="n"/>
      <c r="F11" s="13" t="n"/>
      <c r="G11" s="11" t="inlineStr">
        <is>
          <t>MRnHs-Gm-L</t>
        </is>
      </c>
      <c r="H11" s="13" t="n">
        <v>304.5</v>
      </c>
      <c r="I11" s="14">
        <f>IF(A11="","",IF(F11&lt;&gt;"",F11,IFERROR(INDEX(Products!$C:$C,MATCH(A11,Products!$A:$A,0)),"")))</f>
        <v/>
      </c>
      <c r="J11" s="14">
        <f>IF(OR(I11="",H11=""),"",I11-H11)</f>
        <v/>
      </c>
      <c r="K11" s="12">
        <f>IF(A11="","",IF(ISNA(MATCH(A11,Products!$A:$A,0)),"NAME NOT IN PRODUCTS",IF(D11="","ADD STORE SKU",IF(LEFT(D11,2)&lt;&gt;"v-","CHECK: STORE SKU STARTS WITH v-",IF(COUNTIF($D:$D,D11)&gt;1,"DUPLICATE STORE SKU",IF(COUNTIFS($A:$A,A11,$B:$B,B11,$C:$C,C11)&gt;1,"DUPLICATE COLOUR + SIZE","OK"))))))</f>
        <v/>
      </c>
    </row>
    <row r="12">
      <c r="A12" s="9" t="inlineStr">
        <is>
          <t>Unisex Classic Crew T-Shirt</t>
        </is>
      </c>
      <c r="B12" s="9" t="inlineStr">
        <is>
          <t>Grey Melange</t>
        </is>
      </c>
      <c r="C12" s="9" t="inlineStr">
        <is>
          <t>XL</t>
        </is>
      </c>
      <c r="D12" s="9" t="inlineStr">
        <is>
          <t>v-9Rqh0iKDaVZW18UNNhEhubTepA3d9XKc</t>
        </is>
      </c>
      <c r="E12" s="11" t="n"/>
      <c r="F12" s="13" t="n"/>
      <c r="G12" s="11" t="inlineStr">
        <is>
          <t>MRnHs-Gm-XL</t>
        </is>
      </c>
      <c r="H12" s="13" t="n">
        <v>304.5</v>
      </c>
      <c r="I12" s="14">
        <f>IF(A12="","",IF(F12&lt;&gt;"",F12,IFERROR(INDEX(Products!$C:$C,MATCH(A12,Products!$A:$A,0)),"")))</f>
        <v/>
      </c>
      <c r="J12" s="14">
        <f>IF(OR(I12="",H12=""),"",I12-H12)</f>
        <v/>
      </c>
      <c r="K12" s="12">
        <f>IF(A12="","",IF(ISNA(MATCH(A12,Products!$A:$A,0)),"NAME NOT IN PRODUCTS",IF(D12="","ADD STORE SKU",IF(LEFT(D12,2)&lt;&gt;"v-","CHECK: STORE SKU STARTS WITH v-",IF(COUNTIF($D:$D,D12)&gt;1,"DUPLICATE STORE SKU",IF(COUNTIFS($A:$A,A12,$B:$B,B12,$C:$C,C12)&gt;1,"DUPLICATE COLOUR + SIZE","OK"))))))</f>
        <v/>
      </c>
    </row>
    <row r="13">
      <c r="A13" s="9" t="inlineStr">
        <is>
          <t>Unisex Classic Crew T-Shirt</t>
        </is>
      </c>
      <c r="B13" s="9" t="inlineStr">
        <is>
          <t>Grey Melange</t>
        </is>
      </c>
      <c r="C13" s="9" t="inlineStr">
        <is>
          <t>XXL</t>
        </is>
      </c>
      <c r="D13" s="9" t="inlineStr">
        <is>
          <t>v-9Rqh0iKDaVZW18UNNhEhubTepA3d9XKd</t>
        </is>
      </c>
      <c r="E13" s="11" t="n"/>
      <c r="F13" s="13" t="n"/>
      <c r="G13" s="11" t="inlineStr">
        <is>
          <t>MRnHs-Gm-XXL</t>
        </is>
      </c>
      <c r="H13" s="13" t="n">
        <v>304.5</v>
      </c>
      <c r="I13" s="14">
        <f>IF(A13="","",IF(F13&lt;&gt;"",F13,IFERROR(INDEX(Products!$C:$C,MATCH(A13,Products!$A:$A,0)),"")))</f>
        <v/>
      </c>
      <c r="J13" s="14">
        <f>IF(OR(I13="",H13=""),"",I13-H13)</f>
        <v/>
      </c>
      <c r="K13" s="12">
        <f>IF(A13="","",IF(ISNA(MATCH(A13,Products!$A:$A,0)),"NAME NOT IN PRODUCTS",IF(D13="","ADD STORE SKU",IF(LEFT(D13,2)&lt;&gt;"v-","CHECK: STORE SKU STARTS WITH v-",IF(COUNTIF($D:$D,D13)&gt;1,"DUPLICATE STORE SKU",IF(COUNTIFS($A:$A,A13,$B:$B,B13,$C:$C,C13)&gt;1,"DUPLICATE COLOUR + SIZE","OK"))))))</f>
        <v/>
      </c>
    </row>
    <row r="14">
      <c r="A14" s="9" t="n"/>
      <c r="B14" s="9" t="n"/>
      <c r="C14" s="9" t="n"/>
      <c r="D14" s="9" t="n"/>
      <c r="E14" s="11" t="n"/>
      <c r="F14" s="13" t="n"/>
      <c r="G14" s="11" t="n"/>
      <c r="H14" s="13" t="n"/>
      <c r="I14" s="14">
        <f>IF(A14="","",IF(F14&lt;&gt;"",F14,IFERROR(INDEX(Products!$C:$C,MATCH(A14,Products!$A:$A,0)),"")))</f>
        <v/>
      </c>
      <c r="J14" s="14">
        <f>IF(OR(I14="",H14=""),"",I14-H14)</f>
        <v/>
      </c>
      <c r="K14" s="12">
        <f>IF(A14="","",IF(ISNA(MATCH(A14,Products!$A:$A,0)),"NAME NOT IN PRODUCTS",IF(D14="","ADD STORE SKU",IF(LEFT(D14,2)&lt;&gt;"v-","CHECK: STORE SKU STARTS WITH v-",IF(COUNTIF($D:$D,D14)&gt;1,"DUPLICATE STORE SKU",IF(COUNTIFS($A:$A,A14,$B:$B,B14,$C:$C,C14)&gt;1,"DUPLICATE COLOUR + SIZE","OK"))))))</f>
        <v/>
      </c>
    </row>
    <row r="15">
      <c r="A15" s="9" t="n"/>
      <c r="B15" s="9" t="n"/>
      <c r="C15" s="9" t="n"/>
      <c r="D15" s="9" t="n"/>
      <c r="E15" s="11" t="n"/>
      <c r="F15" s="13" t="n"/>
      <c r="G15" s="11" t="n"/>
      <c r="H15" s="13" t="n"/>
      <c r="I15" s="14">
        <f>IF(A15="","",IF(F15&lt;&gt;"",F15,IFERROR(INDEX(Products!$C:$C,MATCH(A15,Products!$A:$A,0)),"")))</f>
        <v/>
      </c>
      <c r="J15" s="14">
        <f>IF(OR(I15="",H15=""),"",I15-H15)</f>
        <v/>
      </c>
      <c r="K15" s="12">
        <f>IF(A15="","",IF(ISNA(MATCH(A15,Products!$A:$A,0)),"NAME NOT IN PRODUCTS",IF(D15="","ADD STORE SKU",IF(LEFT(D15,2)&lt;&gt;"v-","CHECK: STORE SKU STARTS WITH v-",IF(COUNTIF($D:$D,D15)&gt;1,"DUPLICATE STORE SKU",IF(COUNTIFS($A:$A,A15,$B:$B,B15,$C:$C,C15)&gt;1,"DUPLICATE COLOUR + SIZE","OK"))))))</f>
        <v/>
      </c>
    </row>
    <row r="16">
      <c r="A16" s="9" t="n"/>
      <c r="B16" s="9" t="n"/>
      <c r="C16" s="9" t="n"/>
      <c r="D16" s="9" t="n"/>
      <c r="E16" s="11" t="n"/>
      <c r="F16" s="13" t="n"/>
      <c r="G16" s="11" t="n"/>
      <c r="H16" s="13" t="n"/>
      <c r="I16" s="14">
        <f>IF(A16="","",IF(F16&lt;&gt;"",F16,IFERROR(INDEX(Products!$C:$C,MATCH(A16,Products!$A:$A,0)),"")))</f>
        <v/>
      </c>
      <c r="J16" s="14">
        <f>IF(OR(I16="",H16=""),"",I16-H16)</f>
        <v/>
      </c>
      <c r="K16" s="12">
        <f>IF(A16="","",IF(ISNA(MATCH(A16,Products!$A:$A,0)),"NAME NOT IN PRODUCTS",IF(D16="","ADD STORE SKU",IF(LEFT(D16,2)&lt;&gt;"v-","CHECK: STORE SKU STARTS WITH v-",IF(COUNTIF($D:$D,D16)&gt;1,"DUPLICATE STORE SKU",IF(COUNTIFS($A:$A,A16,$B:$B,B16,$C:$C,C16)&gt;1,"DUPLICATE COLOUR + SIZE","OK"))))))</f>
        <v/>
      </c>
    </row>
    <row r="17">
      <c r="A17" s="9" t="n"/>
      <c r="B17" s="9" t="n"/>
      <c r="C17" s="9" t="n"/>
      <c r="D17" s="9" t="n"/>
      <c r="E17" s="11" t="n"/>
      <c r="F17" s="13" t="n"/>
      <c r="G17" s="11" t="n"/>
      <c r="H17" s="13" t="n"/>
      <c r="I17" s="14">
        <f>IF(A17="","",IF(F17&lt;&gt;"",F17,IFERROR(INDEX(Products!$C:$C,MATCH(A17,Products!$A:$A,0)),"")))</f>
        <v/>
      </c>
      <c r="J17" s="14">
        <f>IF(OR(I17="",H17=""),"",I17-H17)</f>
        <v/>
      </c>
      <c r="K17" s="12">
        <f>IF(A17="","",IF(ISNA(MATCH(A17,Products!$A:$A,0)),"NAME NOT IN PRODUCTS",IF(D17="","ADD STORE SKU",IF(LEFT(D17,2)&lt;&gt;"v-","CHECK: STORE SKU STARTS WITH v-",IF(COUNTIF($D:$D,D17)&gt;1,"DUPLICATE STORE SKU",IF(COUNTIFS($A:$A,A17,$B:$B,B17,$C:$C,C17)&gt;1,"DUPLICATE COLOUR + SIZE","OK"))))))</f>
        <v/>
      </c>
    </row>
    <row r="18">
      <c r="A18" s="9" t="n"/>
      <c r="B18" s="9" t="n"/>
      <c r="C18" s="9" t="n"/>
      <c r="D18" s="9" t="n"/>
      <c r="E18" s="11" t="n"/>
      <c r="F18" s="13" t="n"/>
      <c r="G18" s="11" t="n"/>
      <c r="H18" s="13" t="n"/>
      <c r="I18" s="14">
        <f>IF(A18="","",IF(F18&lt;&gt;"",F18,IFERROR(INDEX(Products!$C:$C,MATCH(A18,Products!$A:$A,0)),"")))</f>
        <v/>
      </c>
      <c r="J18" s="14">
        <f>IF(OR(I18="",H18=""),"",I18-H18)</f>
        <v/>
      </c>
      <c r="K18" s="12">
        <f>IF(A18="","",IF(ISNA(MATCH(A18,Products!$A:$A,0)),"NAME NOT IN PRODUCTS",IF(D18="","ADD STORE SKU",IF(LEFT(D18,2)&lt;&gt;"v-","CHECK: STORE SKU STARTS WITH v-",IF(COUNTIF($D:$D,D18)&gt;1,"DUPLICATE STORE SKU",IF(COUNTIFS($A:$A,A18,$B:$B,B18,$C:$C,C18)&gt;1,"DUPLICATE COLOUR + SIZE","OK"))))))</f>
        <v/>
      </c>
    </row>
    <row r="19">
      <c r="A19" s="9" t="n"/>
      <c r="B19" s="9" t="n"/>
      <c r="C19" s="9" t="n"/>
      <c r="D19" s="9" t="n"/>
      <c r="E19" s="11" t="n"/>
      <c r="F19" s="13" t="n"/>
      <c r="G19" s="11" t="n"/>
      <c r="H19" s="13" t="n"/>
      <c r="I19" s="14">
        <f>IF(A19="","",IF(F19&lt;&gt;"",F19,IFERROR(INDEX(Products!$C:$C,MATCH(A19,Products!$A:$A,0)),"")))</f>
        <v/>
      </c>
      <c r="J19" s="14">
        <f>IF(OR(I19="",H19=""),"",I19-H19)</f>
        <v/>
      </c>
      <c r="K19" s="12">
        <f>IF(A19="","",IF(ISNA(MATCH(A19,Products!$A:$A,0)),"NAME NOT IN PRODUCTS",IF(D19="","ADD STORE SKU",IF(LEFT(D19,2)&lt;&gt;"v-","CHECK: STORE SKU STARTS WITH v-",IF(COUNTIF($D:$D,D19)&gt;1,"DUPLICATE STORE SKU",IF(COUNTIFS($A:$A,A19,$B:$B,B19,$C:$C,C19)&gt;1,"DUPLICATE COLOUR + SIZE","OK"))))))</f>
        <v/>
      </c>
    </row>
    <row r="20">
      <c r="A20" s="9" t="n"/>
      <c r="B20" s="9" t="n"/>
      <c r="C20" s="9" t="n"/>
      <c r="D20" s="9" t="n"/>
      <c r="E20" s="11" t="n"/>
      <c r="F20" s="13" t="n"/>
      <c r="G20" s="11" t="n"/>
      <c r="H20" s="13" t="n"/>
      <c r="I20" s="14">
        <f>IF(A20="","",IF(F20&lt;&gt;"",F20,IFERROR(INDEX(Products!$C:$C,MATCH(A20,Products!$A:$A,0)),"")))</f>
        <v/>
      </c>
      <c r="J20" s="14">
        <f>IF(OR(I20="",H20=""),"",I20-H20)</f>
        <v/>
      </c>
      <c r="K20" s="12">
        <f>IF(A20="","",IF(ISNA(MATCH(A20,Products!$A:$A,0)),"NAME NOT IN PRODUCTS",IF(D20="","ADD STORE SKU",IF(LEFT(D20,2)&lt;&gt;"v-","CHECK: STORE SKU STARTS WITH v-",IF(COUNTIF($D:$D,D20)&gt;1,"DUPLICATE STORE SKU",IF(COUNTIFS($A:$A,A20,$B:$B,B20,$C:$C,C20)&gt;1,"DUPLICATE COLOUR + SIZE","OK"))))))</f>
        <v/>
      </c>
    </row>
    <row r="21">
      <c r="A21" s="9" t="n"/>
      <c r="B21" s="9" t="n"/>
      <c r="C21" s="9" t="n"/>
      <c r="D21" s="9" t="n"/>
      <c r="E21" s="11" t="n"/>
      <c r="F21" s="13" t="n"/>
      <c r="G21" s="11" t="n"/>
      <c r="H21" s="13" t="n"/>
      <c r="I21" s="14">
        <f>IF(A21="","",IF(F21&lt;&gt;"",F21,IFERROR(INDEX(Products!$C:$C,MATCH(A21,Products!$A:$A,0)),"")))</f>
        <v/>
      </c>
      <c r="J21" s="14">
        <f>IF(OR(I21="",H21=""),"",I21-H21)</f>
        <v/>
      </c>
      <c r="K21" s="12">
        <f>IF(A21="","",IF(ISNA(MATCH(A21,Products!$A:$A,0)),"NAME NOT IN PRODUCTS",IF(D21="","ADD STORE SKU",IF(LEFT(D21,2)&lt;&gt;"v-","CHECK: STORE SKU STARTS WITH v-",IF(COUNTIF($D:$D,D21)&gt;1,"DUPLICATE STORE SKU",IF(COUNTIFS($A:$A,A21,$B:$B,B21,$C:$C,C21)&gt;1,"DUPLICATE COLOUR + SIZE","OK"))))))</f>
        <v/>
      </c>
    </row>
    <row r="22">
      <c r="A22" s="9" t="n"/>
      <c r="B22" s="9" t="n"/>
      <c r="C22" s="9" t="n"/>
      <c r="D22" s="9" t="n"/>
      <c r="E22" s="11" t="n"/>
      <c r="F22" s="13" t="n"/>
      <c r="G22" s="11" t="n"/>
      <c r="H22" s="13" t="n"/>
      <c r="I22" s="14">
        <f>IF(A22="","",IF(F22&lt;&gt;"",F22,IFERROR(INDEX(Products!$C:$C,MATCH(A22,Products!$A:$A,0)),"")))</f>
        <v/>
      </c>
      <c r="J22" s="14">
        <f>IF(OR(I22="",H22=""),"",I22-H22)</f>
        <v/>
      </c>
      <c r="K22" s="12">
        <f>IF(A22="","",IF(ISNA(MATCH(A22,Products!$A:$A,0)),"NAME NOT IN PRODUCTS",IF(D22="","ADD STORE SKU",IF(LEFT(D22,2)&lt;&gt;"v-","CHECK: STORE SKU STARTS WITH v-",IF(COUNTIF($D:$D,D22)&gt;1,"DUPLICATE STORE SKU",IF(COUNTIFS($A:$A,A22,$B:$B,B22,$C:$C,C22)&gt;1,"DUPLICATE COLOUR + SIZE","OK"))))))</f>
        <v/>
      </c>
    </row>
    <row r="23">
      <c r="A23" s="9" t="n"/>
      <c r="B23" s="9" t="n"/>
      <c r="C23" s="9" t="n"/>
      <c r="D23" s="9" t="n"/>
      <c r="E23" s="11" t="n"/>
      <c r="F23" s="13" t="n"/>
      <c r="G23" s="11" t="n"/>
      <c r="H23" s="13" t="n"/>
      <c r="I23" s="14">
        <f>IF(A23="","",IF(F23&lt;&gt;"",F23,IFERROR(INDEX(Products!$C:$C,MATCH(A23,Products!$A:$A,0)),"")))</f>
        <v/>
      </c>
      <c r="J23" s="14">
        <f>IF(OR(I23="",H23=""),"",I23-H23)</f>
        <v/>
      </c>
      <c r="K23" s="12">
        <f>IF(A23="","",IF(ISNA(MATCH(A23,Products!$A:$A,0)),"NAME NOT IN PRODUCTS",IF(D23="","ADD STORE SKU",IF(LEFT(D23,2)&lt;&gt;"v-","CHECK: STORE SKU STARTS WITH v-",IF(COUNTIF($D:$D,D23)&gt;1,"DUPLICATE STORE SKU",IF(COUNTIFS($A:$A,A23,$B:$B,B23,$C:$C,C23)&gt;1,"DUPLICATE COLOUR + SIZE","OK"))))))</f>
        <v/>
      </c>
    </row>
    <row r="24">
      <c r="A24" s="9" t="n"/>
      <c r="B24" s="9" t="n"/>
      <c r="C24" s="9" t="n"/>
      <c r="D24" s="9" t="n"/>
      <c r="E24" s="11" t="n"/>
      <c r="F24" s="13" t="n"/>
      <c r="G24" s="11" t="n"/>
      <c r="H24" s="13" t="n"/>
      <c r="I24" s="14">
        <f>IF(A24="","",IF(F24&lt;&gt;"",F24,IFERROR(INDEX(Products!$C:$C,MATCH(A24,Products!$A:$A,0)),"")))</f>
        <v/>
      </c>
      <c r="J24" s="14">
        <f>IF(OR(I24="",H24=""),"",I24-H24)</f>
        <v/>
      </c>
      <c r="K24" s="12">
        <f>IF(A24="","",IF(ISNA(MATCH(A24,Products!$A:$A,0)),"NAME NOT IN PRODUCTS",IF(D24="","ADD STORE SKU",IF(LEFT(D24,2)&lt;&gt;"v-","CHECK: STORE SKU STARTS WITH v-",IF(COUNTIF($D:$D,D24)&gt;1,"DUPLICATE STORE SKU",IF(COUNTIFS($A:$A,A24,$B:$B,B24,$C:$C,C24)&gt;1,"DUPLICATE COLOUR + SIZE","OK"))))))</f>
        <v/>
      </c>
    </row>
    <row r="25">
      <c r="A25" s="9" t="n"/>
      <c r="B25" s="9" t="n"/>
      <c r="C25" s="9" t="n"/>
      <c r="D25" s="9" t="n"/>
      <c r="E25" s="11" t="n"/>
      <c r="F25" s="13" t="n"/>
      <c r="G25" s="11" t="n"/>
      <c r="H25" s="13" t="n"/>
      <c r="I25" s="14">
        <f>IF(A25="","",IF(F25&lt;&gt;"",F25,IFERROR(INDEX(Products!$C:$C,MATCH(A25,Products!$A:$A,0)),"")))</f>
        <v/>
      </c>
      <c r="J25" s="14">
        <f>IF(OR(I25="",H25=""),"",I25-H25)</f>
        <v/>
      </c>
      <c r="K25" s="12">
        <f>IF(A25="","",IF(ISNA(MATCH(A25,Products!$A:$A,0)),"NAME NOT IN PRODUCTS",IF(D25="","ADD STORE SKU",IF(LEFT(D25,2)&lt;&gt;"v-","CHECK: STORE SKU STARTS WITH v-",IF(COUNTIF($D:$D,D25)&gt;1,"DUPLICATE STORE SKU",IF(COUNTIFS($A:$A,A25,$B:$B,B25,$C:$C,C25)&gt;1,"DUPLICATE COLOUR + SIZE","OK"))))))</f>
        <v/>
      </c>
    </row>
    <row r="26">
      <c r="A26" s="9" t="n"/>
      <c r="B26" s="9" t="n"/>
      <c r="C26" s="9" t="n"/>
      <c r="D26" s="9" t="n"/>
      <c r="E26" s="11" t="n"/>
      <c r="F26" s="13" t="n"/>
      <c r="G26" s="11" t="n"/>
      <c r="H26" s="13" t="n"/>
      <c r="I26" s="14">
        <f>IF(A26="","",IF(F26&lt;&gt;"",F26,IFERROR(INDEX(Products!$C:$C,MATCH(A26,Products!$A:$A,0)),"")))</f>
        <v/>
      </c>
      <c r="J26" s="14">
        <f>IF(OR(I26="",H26=""),"",I26-H26)</f>
        <v/>
      </c>
      <c r="K26" s="12">
        <f>IF(A26="","",IF(ISNA(MATCH(A26,Products!$A:$A,0)),"NAME NOT IN PRODUCTS",IF(D26="","ADD STORE SKU",IF(LEFT(D26,2)&lt;&gt;"v-","CHECK: STORE SKU STARTS WITH v-",IF(COUNTIF($D:$D,D26)&gt;1,"DUPLICATE STORE SKU",IF(COUNTIFS($A:$A,A26,$B:$B,B26,$C:$C,C26)&gt;1,"DUPLICATE COLOUR + SIZE","OK"))))))</f>
        <v/>
      </c>
    </row>
    <row r="27">
      <c r="A27" s="9" t="n"/>
      <c r="B27" s="9" t="n"/>
      <c r="C27" s="9" t="n"/>
      <c r="D27" s="9" t="n"/>
      <c r="E27" s="11" t="n"/>
      <c r="F27" s="13" t="n"/>
      <c r="G27" s="11" t="n"/>
      <c r="H27" s="13" t="n"/>
      <c r="I27" s="14">
        <f>IF(A27="","",IF(F27&lt;&gt;"",F27,IFERROR(INDEX(Products!$C:$C,MATCH(A27,Products!$A:$A,0)),"")))</f>
        <v/>
      </c>
      <c r="J27" s="14">
        <f>IF(OR(I27="",H27=""),"",I27-H27)</f>
        <v/>
      </c>
      <c r="K27" s="12">
        <f>IF(A27="","",IF(ISNA(MATCH(A27,Products!$A:$A,0)),"NAME NOT IN PRODUCTS",IF(D27="","ADD STORE SKU",IF(LEFT(D27,2)&lt;&gt;"v-","CHECK: STORE SKU STARTS WITH v-",IF(COUNTIF($D:$D,D27)&gt;1,"DUPLICATE STORE SKU",IF(COUNTIFS($A:$A,A27,$B:$B,B27,$C:$C,C27)&gt;1,"DUPLICATE COLOUR + SIZE","OK"))))))</f>
        <v/>
      </c>
    </row>
    <row r="28">
      <c r="A28" s="9" t="n"/>
      <c r="B28" s="9" t="n"/>
      <c r="C28" s="9" t="n"/>
      <c r="D28" s="9" t="n"/>
      <c r="E28" s="11" t="n"/>
      <c r="F28" s="13" t="n"/>
      <c r="G28" s="11" t="n"/>
      <c r="H28" s="13" t="n"/>
      <c r="I28" s="14">
        <f>IF(A28="","",IF(F28&lt;&gt;"",F28,IFERROR(INDEX(Products!$C:$C,MATCH(A28,Products!$A:$A,0)),"")))</f>
        <v/>
      </c>
      <c r="J28" s="14">
        <f>IF(OR(I28="",H28=""),"",I28-H28)</f>
        <v/>
      </c>
      <c r="K28" s="12">
        <f>IF(A28="","",IF(ISNA(MATCH(A28,Products!$A:$A,0)),"NAME NOT IN PRODUCTS",IF(D28="","ADD STORE SKU",IF(LEFT(D28,2)&lt;&gt;"v-","CHECK: STORE SKU STARTS WITH v-",IF(COUNTIF($D:$D,D28)&gt;1,"DUPLICATE STORE SKU",IF(COUNTIFS($A:$A,A28,$B:$B,B28,$C:$C,C28)&gt;1,"DUPLICATE COLOUR + SIZE","OK"))))))</f>
        <v/>
      </c>
    </row>
    <row r="29">
      <c r="A29" s="9" t="n"/>
      <c r="B29" s="9" t="n"/>
      <c r="C29" s="9" t="n"/>
      <c r="D29" s="9" t="n"/>
      <c r="E29" s="11" t="n"/>
      <c r="F29" s="13" t="n"/>
      <c r="G29" s="11" t="n"/>
      <c r="H29" s="13" t="n"/>
      <c r="I29" s="14">
        <f>IF(A29="","",IF(F29&lt;&gt;"",F29,IFERROR(INDEX(Products!$C:$C,MATCH(A29,Products!$A:$A,0)),"")))</f>
        <v/>
      </c>
      <c r="J29" s="14">
        <f>IF(OR(I29="",H29=""),"",I29-H29)</f>
        <v/>
      </c>
      <c r="K29" s="12">
        <f>IF(A29="","",IF(ISNA(MATCH(A29,Products!$A:$A,0)),"NAME NOT IN PRODUCTS",IF(D29="","ADD STORE SKU",IF(LEFT(D29,2)&lt;&gt;"v-","CHECK: STORE SKU STARTS WITH v-",IF(COUNTIF($D:$D,D29)&gt;1,"DUPLICATE STORE SKU",IF(COUNTIFS($A:$A,A29,$B:$B,B29,$C:$C,C29)&gt;1,"DUPLICATE COLOUR + SIZE","OK"))))))</f>
        <v/>
      </c>
    </row>
    <row r="30">
      <c r="A30" s="9" t="n"/>
      <c r="B30" s="9" t="n"/>
      <c r="C30" s="9" t="n"/>
      <c r="D30" s="9" t="n"/>
      <c r="E30" s="11" t="n"/>
      <c r="F30" s="13" t="n"/>
      <c r="G30" s="11" t="n"/>
      <c r="H30" s="13" t="n"/>
      <c r="I30" s="14">
        <f>IF(A30="","",IF(F30&lt;&gt;"",F30,IFERROR(INDEX(Products!$C:$C,MATCH(A30,Products!$A:$A,0)),"")))</f>
        <v/>
      </c>
      <c r="J30" s="14">
        <f>IF(OR(I30="",H30=""),"",I30-H30)</f>
        <v/>
      </c>
      <c r="K30" s="12">
        <f>IF(A30="","",IF(ISNA(MATCH(A30,Products!$A:$A,0)),"NAME NOT IN PRODUCTS",IF(D30="","ADD STORE SKU",IF(LEFT(D30,2)&lt;&gt;"v-","CHECK: STORE SKU STARTS WITH v-",IF(COUNTIF($D:$D,D30)&gt;1,"DUPLICATE STORE SKU",IF(COUNTIFS($A:$A,A30,$B:$B,B30,$C:$C,C30)&gt;1,"DUPLICATE COLOUR + SIZE","OK"))))))</f>
        <v/>
      </c>
    </row>
    <row r="31">
      <c r="A31" s="9" t="n"/>
      <c r="B31" s="9" t="n"/>
      <c r="C31" s="9" t="n"/>
      <c r="D31" s="9" t="n"/>
      <c r="E31" s="11" t="n"/>
      <c r="F31" s="13" t="n"/>
      <c r="G31" s="11" t="n"/>
      <c r="H31" s="13" t="n"/>
      <c r="I31" s="14">
        <f>IF(A31="","",IF(F31&lt;&gt;"",F31,IFERROR(INDEX(Products!$C:$C,MATCH(A31,Products!$A:$A,0)),"")))</f>
        <v/>
      </c>
      <c r="J31" s="14">
        <f>IF(OR(I31="",H31=""),"",I31-H31)</f>
        <v/>
      </c>
      <c r="K31" s="12">
        <f>IF(A31="","",IF(ISNA(MATCH(A31,Products!$A:$A,0)),"NAME NOT IN PRODUCTS",IF(D31="","ADD STORE SKU",IF(LEFT(D31,2)&lt;&gt;"v-","CHECK: STORE SKU STARTS WITH v-",IF(COUNTIF($D:$D,D31)&gt;1,"DUPLICATE STORE SKU",IF(COUNTIFS($A:$A,A31,$B:$B,B31,$C:$C,C31)&gt;1,"DUPLICATE COLOUR + SIZE","OK"))))))</f>
        <v/>
      </c>
    </row>
    <row r="32">
      <c r="A32" s="9" t="n"/>
      <c r="B32" s="9" t="n"/>
      <c r="C32" s="9" t="n"/>
      <c r="D32" s="9" t="n"/>
      <c r="E32" s="11" t="n"/>
      <c r="F32" s="13" t="n"/>
      <c r="G32" s="11" t="n"/>
      <c r="H32" s="13" t="n"/>
      <c r="I32" s="14">
        <f>IF(A32="","",IF(F32&lt;&gt;"",F32,IFERROR(INDEX(Products!$C:$C,MATCH(A32,Products!$A:$A,0)),"")))</f>
        <v/>
      </c>
      <c r="J32" s="14">
        <f>IF(OR(I32="",H32=""),"",I32-H32)</f>
        <v/>
      </c>
      <c r="K32" s="12">
        <f>IF(A32="","",IF(ISNA(MATCH(A32,Products!$A:$A,0)),"NAME NOT IN PRODUCTS",IF(D32="","ADD STORE SKU",IF(LEFT(D32,2)&lt;&gt;"v-","CHECK: STORE SKU STARTS WITH v-",IF(COUNTIF($D:$D,D32)&gt;1,"DUPLICATE STORE SKU",IF(COUNTIFS($A:$A,A32,$B:$B,B32,$C:$C,C32)&gt;1,"DUPLICATE COLOUR + SIZE","OK"))))))</f>
        <v/>
      </c>
    </row>
    <row r="33">
      <c r="A33" s="9" t="n"/>
      <c r="B33" s="9" t="n"/>
      <c r="C33" s="9" t="n"/>
      <c r="D33" s="9" t="n"/>
      <c r="E33" s="11" t="n"/>
      <c r="F33" s="13" t="n"/>
      <c r="G33" s="11" t="n"/>
      <c r="H33" s="13" t="n"/>
      <c r="I33" s="14">
        <f>IF(A33="","",IF(F33&lt;&gt;"",F33,IFERROR(INDEX(Products!$C:$C,MATCH(A33,Products!$A:$A,0)),"")))</f>
        <v/>
      </c>
      <c r="J33" s="14">
        <f>IF(OR(I33="",H33=""),"",I33-H33)</f>
        <v/>
      </c>
      <c r="K33" s="12">
        <f>IF(A33="","",IF(ISNA(MATCH(A33,Products!$A:$A,0)),"NAME NOT IN PRODUCTS",IF(D33="","ADD STORE SKU",IF(LEFT(D33,2)&lt;&gt;"v-","CHECK: STORE SKU STARTS WITH v-",IF(COUNTIF($D:$D,D33)&gt;1,"DUPLICATE STORE SKU",IF(COUNTIFS($A:$A,A33,$B:$B,B33,$C:$C,C33)&gt;1,"DUPLICATE COLOUR + SIZE","OK"))))))</f>
        <v/>
      </c>
    </row>
    <row r="34">
      <c r="A34" s="9" t="n"/>
      <c r="B34" s="9" t="n"/>
      <c r="C34" s="9" t="n"/>
      <c r="D34" s="9" t="n"/>
      <c r="E34" s="11" t="n"/>
      <c r="F34" s="13" t="n"/>
      <c r="G34" s="11" t="n"/>
      <c r="H34" s="13" t="n"/>
      <c r="I34" s="14">
        <f>IF(A34="","",IF(F34&lt;&gt;"",F34,IFERROR(INDEX(Products!$C:$C,MATCH(A34,Products!$A:$A,0)),"")))</f>
        <v/>
      </c>
      <c r="J34" s="14">
        <f>IF(OR(I34="",H34=""),"",I34-H34)</f>
        <v/>
      </c>
      <c r="K34" s="12">
        <f>IF(A34="","",IF(ISNA(MATCH(A34,Products!$A:$A,0)),"NAME NOT IN PRODUCTS",IF(D34="","ADD STORE SKU",IF(LEFT(D34,2)&lt;&gt;"v-","CHECK: STORE SKU STARTS WITH v-",IF(COUNTIF($D:$D,D34)&gt;1,"DUPLICATE STORE SKU",IF(COUNTIFS($A:$A,A34,$B:$B,B34,$C:$C,C34)&gt;1,"DUPLICATE COLOUR + SIZE","OK"))))))</f>
        <v/>
      </c>
    </row>
    <row r="35">
      <c r="A35" s="9" t="n"/>
      <c r="B35" s="9" t="n"/>
      <c r="C35" s="9" t="n"/>
      <c r="D35" s="9" t="n"/>
      <c r="E35" s="11" t="n"/>
      <c r="F35" s="13" t="n"/>
      <c r="G35" s="11" t="n"/>
      <c r="H35" s="13" t="n"/>
      <c r="I35" s="14">
        <f>IF(A35="","",IF(F35&lt;&gt;"",F35,IFERROR(INDEX(Products!$C:$C,MATCH(A35,Products!$A:$A,0)),"")))</f>
        <v/>
      </c>
      <c r="J35" s="14">
        <f>IF(OR(I35="",H35=""),"",I35-H35)</f>
        <v/>
      </c>
      <c r="K35" s="12">
        <f>IF(A35="","",IF(ISNA(MATCH(A35,Products!$A:$A,0)),"NAME NOT IN PRODUCTS",IF(D35="","ADD STORE SKU",IF(LEFT(D35,2)&lt;&gt;"v-","CHECK: STORE SKU STARTS WITH v-",IF(COUNTIF($D:$D,D35)&gt;1,"DUPLICATE STORE SKU",IF(COUNTIFS($A:$A,A35,$B:$B,B35,$C:$C,C35)&gt;1,"DUPLICATE COLOUR + SIZE","OK"))))))</f>
        <v/>
      </c>
    </row>
    <row r="36">
      <c r="A36" s="9" t="n"/>
      <c r="B36" s="9" t="n"/>
      <c r="C36" s="9" t="n"/>
      <c r="D36" s="9" t="n"/>
      <c r="E36" s="11" t="n"/>
      <c r="F36" s="13" t="n"/>
      <c r="G36" s="11" t="n"/>
      <c r="H36" s="13" t="n"/>
      <c r="I36" s="14">
        <f>IF(A36="","",IF(F36&lt;&gt;"",F36,IFERROR(INDEX(Products!$C:$C,MATCH(A36,Products!$A:$A,0)),"")))</f>
        <v/>
      </c>
      <c r="J36" s="14">
        <f>IF(OR(I36="",H36=""),"",I36-H36)</f>
        <v/>
      </c>
      <c r="K36" s="12">
        <f>IF(A36="","",IF(ISNA(MATCH(A36,Products!$A:$A,0)),"NAME NOT IN PRODUCTS",IF(D36="","ADD STORE SKU",IF(LEFT(D36,2)&lt;&gt;"v-","CHECK: STORE SKU STARTS WITH v-",IF(COUNTIF($D:$D,D36)&gt;1,"DUPLICATE STORE SKU",IF(COUNTIFS($A:$A,A36,$B:$B,B36,$C:$C,C36)&gt;1,"DUPLICATE COLOUR + SIZE","OK"))))))</f>
        <v/>
      </c>
    </row>
    <row r="37">
      <c r="A37" s="9" t="n"/>
      <c r="B37" s="9" t="n"/>
      <c r="C37" s="9" t="n"/>
      <c r="D37" s="9" t="n"/>
      <c r="E37" s="11" t="n"/>
      <c r="F37" s="13" t="n"/>
      <c r="G37" s="11" t="n"/>
      <c r="H37" s="13" t="n"/>
      <c r="I37" s="14">
        <f>IF(A37="","",IF(F37&lt;&gt;"",F37,IFERROR(INDEX(Products!$C:$C,MATCH(A37,Products!$A:$A,0)),"")))</f>
        <v/>
      </c>
      <c r="J37" s="14">
        <f>IF(OR(I37="",H37=""),"",I37-H37)</f>
        <v/>
      </c>
      <c r="K37" s="12">
        <f>IF(A37="","",IF(ISNA(MATCH(A37,Products!$A:$A,0)),"NAME NOT IN PRODUCTS",IF(D37="","ADD STORE SKU",IF(LEFT(D37,2)&lt;&gt;"v-","CHECK: STORE SKU STARTS WITH v-",IF(COUNTIF($D:$D,D37)&gt;1,"DUPLICATE STORE SKU",IF(COUNTIFS($A:$A,A37,$B:$B,B37,$C:$C,C37)&gt;1,"DUPLICATE COLOUR + SIZE","OK"))))))</f>
        <v/>
      </c>
    </row>
    <row r="38">
      <c r="A38" s="9" t="n"/>
      <c r="B38" s="9" t="n"/>
      <c r="C38" s="9" t="n"/>
      <c r="D38" s="9" t="n"/>
      <c r="E38" s="11" t="n"/>
      <c r="F38" s="13" t="n"/>
      <c r="G38" s="11" t="n"/>
      <c r="H38" s="13" t="n"/>
      <c r="I38" s="14">
        <f>IF(A38="","",IF(F38&lt;&gt;"",F38,IFERROR(INDEX(Products!$C:$C,MATCH(A38,Products!$A:$A,0)),"")))</f>
        <v/>
      </c>
      <c r="J38" s="14">
        <f>IF(OR(I38="",H38=""),"",I38-H38)</f>
        <v/>
      </c>
      <c r="K38" s="12">
        <f>IF(A38="","",IF(ISNA(MATCH(A38,Products!$A:$A,0)),"NAME NOT IN PRODUCTS",IF(D38="","ADD STORE SKU",IF(LEFT(D38,2)&lt;&gt;"v-","CHECK: STORE SKU STARTS WITH v-",IF(COUNTIF($D:$D,D38)&gt;1,"DUPLICATE STORE SKU",IF(COUNTIFS($A:$A,A38,$B:$B,B38,$C:$C,C38)&gt;1,"DUPLICATE COLOUR + SIZE","OK"))))))</f>
        <v/>
      </c>
    </row>
    <row r="39">
      <c r="A39" s="9" t="n"/>
      <c r="B39" s="9" t="n"/>
      <c r="C39" s="9" t="n"/>
      <c r="D39" s="9" t="n"/>
      <c r="E39" s="11" t="n"/>
      <c r="F39" s="13" t="n"/>
      <c r="G39" s="11" t="n"/>
      <c r="H39" s="13" t="n"/>
      <c r="I39" s="14">
        <f>IF(A39="","",IF(F39&lt;&gt;"",F39,IFERROR(INDEX(Products!$C:$C,MATCH(A39,Products!$A:$A,0)),"")))</f>
        <v/>
      </c>
      <c r="J39" s="14">
        <f>IF(OR(I39="",H39=""),"",I39-H39)</f>
        <v/>
      </c>
      <c r="K39" s="12">
        <f>IF(A39="","",IF(ISNA(MATCH(A39,Products!$A:$A,0)),"NAME NOT IN PRODUCTS",IF(D39="","ADD STORE SKU",IF(LEFT(D39,2)&lt;&gt;"v-","CHECK: STORE SKU STARTS WITH v-",IF(COUNTIF($D:$D,D39)&gt;1,"DUPLICATE STORE SKU",IF(COUNTIFS($A:$A,A39,$B:$B,B39,$C:$C,C39)&gt;1,"DUPLICATE COLOUR + SIZE","OK"))))))</f>
        <v/>
      </c>
    </row>
    <row r="40">
      <c r="A40" s="9" t="n"/>
      <c r="B40" s="9" t="n"/>
      <c r="C40" s="9" t="n"/>
      <c r="D40" s="9" t="n"/>
      <c r="E40" s="11" t="n"/>
      <c r="F40" s="13" t="n"/>
      <c r="G40" s="11" t="n"/>
      <c r="H40" s="13" t="n"/>
      <c r="I40" s="14">
        <f>IF(A40="","",IF(F40&lt;&gt;"",F40,IFERROR(INDEX(Products!$C:$C,MATCH(A40,Products!$A:$A,0)),"")))</f>
        <v/>
      </c>
      <c r="J40" s="14">
        <f>IF(OR(I40="",H40=""),"",I40-H40)</f>
        <v/>
      </c>
      <c r="K40" s="12">
        <f>IF(A40="","",IF(ISNA(MATCH(A40,Products!$A:$A,0)),"NAME NOT IN PRODUCTS",IF(D40="","ADD STORE SKU",IF(LEFT(D40,2)&lt;&gt;"v-","CHECK: STORE SKU STARTS WITH v-",IF(COUNTIF($D:$D,D40)&gt;1,"DUPLICATE STORE SKU",IF(COUNTIFS($A:$A,A40,$B:$B,B40,$C:$C,C40)&gt;1,"DUPLICATE COLOUR + SIZE","OK"))))))</f>
        <v/>
      </c>
    </row>
    <row r="41">
      <c r="A41" s="9" t="n"/>
      <c r="B41" s="9" t="n"/>
      <c r="C41" s="9" t="n"/>
      <c r="D41" s="9" t="n"/>
      <c r="E41" s="11" t="n"/>
      <c r="F41" s="13" t="n"/>
      <c r="G41" s="11" t="n"/>
      <c r="H41" s="13" t="n"/>
      <c r="I41" s="14">
        <f>IF(A41="","",IF(F41&lt;&gt;"",F41,IFERROR(INDEX(Products!$C:$C,MATCH(A41,Products!$A:$A,0)),"")))</f>
        <v/>
      </c>
      <c r="J41" s="14">
        <f>IF(OR(I41="",H41=""),"",I41-H41)</f>
        <v/>
      </c>
      <c r="K41" s="12">
        <f>IF(A41="","",IF(ISNA(MATCH(A41,Products!$A:$A,0)),"NAME NOT IN PRODUCTS",IF(D41="","ADD STORE SKU",IF(LEFT(D41,2)&lt;&gt;"v-","CHECK: STORE SKU STARTS WITH v-",IF(COUNTIF($D:$D,D41)&gt;1,"DUPLICATE STORE SKU",IF(COUNTIFS($A:$A,A41,$B:$B,B41,$C:$C,C41)&gt;1,"DUPLICATE COLOUR + SIZE","OK"))))))</f>
        <v/>
      </c>
    </row>
    <row r="42">
      <c r="A42" s="9" t="n"/>
      <c r="B42" s="9" t="n"/>
      <c r="C42" s="9" t="n"/>
      <c r="D42" s="9" t="n"/>
      <c r="E42" s="11" t="n"/>
      <c r="F42" s="13" t="n"/>
      <c r="G42" s="11" t="n"/>
      <c r="H42" s="13" t="n"/>
      <c r="I42" s="14">
        <f>IF(A42="","",IF(F42&lt;&gt;"",F42,IFERROR(INDEX(Products!$C:$C,MATCH(A42,Products!$A:$A,0)),"")))</f>
        <v/>
      </c>
      <c r="J42" s="14">
        <f>IF(OR(I42="",H42=""),"",I42-H42)</f>
        <v/>
      </c>
      <c r="K42" s="12">
        <f>IF(A42="","",IF(ISNA(MATCH(A42,Products!$A:$A,0)),"NAME NOT IN PRODUCTS",IF(D42="","ADD STORE SKU",IF(LEFT(D42,2)&lt;&gt;"v-","CHECK: STORE SKU STARTS WITH v-",IF(COUNTIF($D:$D,D42)&gt;1,"DUPLICATE STORE SKU",IF(COUNTIFS($A:$A,A42,$B:$B,B42,$C:$C,C42)&gt;1,"DUPLICATE COLOUR + SIZE","OK"))))))</f>
        <v/>
      </c>
    </row>
    <row r="43">
      <c r="A43" s="9" t="n"/>
      <c r="B43" s="9" t="n"/>
      <c r="C43" s="9" t="n"/>
      <c r="D43" s="9" t="n"/>
      <c r="E43" s="11" t="n"/>
      <c r="F43" s="13" t="n"/>
      <c r="G43" s="11" t="n"/>
      <c r="H43" s="13" t="n"/>
      <c r="I43" s="14">
        <f>IF(A43="","",IF(F43&lt;&gt;"",F43,IFERROR(INDEX(Products!$C:$C,MATCH(A43,Products!$A:$A,0)),"")))</f>
        <v/>
      </c>
      <c r="J43" s="14">
        <f>IF(OR(I43="",H43=""),"",I43-H43)</f>
        <v/>
      </c>
      <c r="K43" s="12">
        <f>IF(A43="","",IF(ISNA(MATCH(A43,Products!$A:$A,0)),"NAME NOT IN PRODUCTS",IF(D43="","ADD STORE SKU",IF(LEFT(D43,2)&lt;&gt;"v-","CHECK: STORE SKU STARTS WITH v-",IF(COUNTIF($D:$D,D43)&gt;1,"DUPLICATE STORE SKU",IF(COUNTIFS($A:$A,A43,$B:$B,B43,$C:$C,C43)&gt;1,"DUPLICATE COLOUR + SIZE","OK"))))))</f>
        <v/>
      </c>
    </row>
    <row r="44">
      <c r="A44" s="9" t="n"/>
      <c r="B44" s="9" t="n"/>
      <c r="C44" s="9" t="n"/>
      <c r="D44" s="9" t="n"/>
      <c r="E44" s="11" t="n"/>
      <c r="F44" s="13" t="n"/>
      <c r="G44" s="11" t="n"/>
      <c r="H44" s="13" t="n"/>
      <c r="I44" s="14">
        <f>IF(A44="","",IF(F44&lt;&gt;"",F44,IFERROR(INDEX(Products!$C:$C,MATCH(A44,Products!$A:$A,0)),"")))</f>
        <v/>
      </c>
      <c r="J44" s="14">
        <f>IF(OR(I44="",H44=""),"",I44-H44)</f>
        <v/>
      </c>
      <c r="K44" s="12">
        <f>IF(A44="","",IF(ISNA(MATCH(A44,Products!$A:$A,0)),"NAME NOT IN PRODUCTS",IF(D44="","ADD STORE SKU",IF(LEFT(D44,2)&lt;&gt;"v-","CHECK: STORE SKU STARTS WITH v-",IF(COUNTIF($D:$D,D44)&gt;1,"DUPLICATE STORE SKU",IF(COUNTIFS($A:$A,A44,$B:$B,B44,$C:$C,C44)&gt;1,"DUPLICATE COLOUR + SIZE","OK"))))))</f>
        <v/>
      </c>
    </row>
    <row r="45">
      <c r="A45" s="9" t="n"/>
      <c r="B45" s="9" t="n"/>
      <c r="C45" s="9" t="n"/>
      <c r="D45" s="9" t="n"/>
      <c r="E45" s="11" t="n"/>
      <c r="F45" s="13" t="n"/>
      <c r="G45" s="11" t="n"/>
      <c r="H45" s="13" t="n"/>
      <c r="I45" s="14">
        <f>IF(A45="","",IF(F45&lt;&gt;"",F45,IFERROR(INDEX(Products!$C:$C,MATCH(A45,Products!$A:$A,0)),"")))</f>
        <v/>
      </c>
      <c r="J45" s="14">
        <f>IF(OR(I45="",H45=""),"",I45-H45)</f>
        <v/>
      </c>
      <c r="K45" s="12">
        <f>IF(A45="","",IF(ISNA(MATCH(A45,Products!$A:$A,0)),"NAME NOT IN PRODUCTS",IF(D45="","ADD STORE SKU",IF(LEFT(D45,2)&lt;&gt;"v-","CHECK: STORE SKU STARTS WITH v-",IF(COUNTIF($D:$D,D45)&gt;1,"DUPLICATE STORE SKU",IF(COUNTIFS($A:$A,A45,$B:$B,B45,$C:$C,C45)&gt;1,"DUPLICATE COLOUR + SIZE","OK"))))))</f>
        <v/>
      </c>
    </row>
    <row r="46">
      <c r="A46" s="9" t="n"/>
      <c r="B46" s="9" t="n"/>
      <c r="C46" s="9" t="n"/>
      <c r="D46" s="9" t="n"/>
      <c r="E46" s="11" t="n"/>
      <c r="F46" s="13" t="n"/>
      <c r="G46" s="11" t="n"/>
      <c r="H46" s="13" t="n"/>
      <c r="I46" s="14">
        <f>IF(A46="","",IF(F46&lt;&gt;"",F46,IFERROR(INDEX(Products!$C:$C,MATCH(A46,Products!$A:$A,0)),"")))</f>
        <v/>
      </c>
      <c r="J46" s="14">
        <f>IF(OR(I46="",H46=""),"",I46-H46)</f>
        <v/>
      </c>
      <c r="K46" s="12">
        <f>IF(A46="","",IF(ISNA(MATCH(A46,Products!$A:$A,0)),"NAME NOT IN PRODUCTS",IF(D46="","ADD STORE SKU",IF(LEFT(D46,2)&lt;&gt;"v-","CHECK: STORE SKU STARTS WITH v-",IF(COUNTIF($D:$D,D46)&gt;1,"DUPLICATE STORE SKU",IF(COUNTIFS($A:$A,A46,$B:$B,B46,$C:$C,C46)&gt;1,"DUPLICATE COLOUR + SIZE","OK"))))))</f>
        <v/>
      </c>
    </row>
    <row r="47">
      <c r="A47" s="9" t="n"/>
      <c r="B47" s="9" t="n"/>
      <c r="C47" s="9" t="n"/>
      <c r="D47" s="9" t="n"/>
      <c r="E47" s="11" t="n"/>
      <c r="F47" s="13" t="n"/>
      <c r="G47" s="11" t="n"/>
      <c r="H47" s="13" t="n"/>
      <c r="I47" s="14">
        <f>IF(A47="","",IF(F47&lt;&gt;"",F47,IFERROR(INDEX(Products!$C:$C,MATCH(A47,Products!$A:$A,0)),"")))</f>
        <v/>
      </c>
      <c r="J47" s="14">
        <f>IF(OR(I47="",H47=""),"",I47-H47)</f>
        <v/>
      </c>
      <c r="K47" s="12">
        <f>IF(A47="","",IF(ISNA(MATCH(A47,Products!$A:$A,0)),"NAME NOT IN PRODUCTS",IF(D47="","ADD STORE SKU",IF(LEFT(D47,2)&lt;&gt;"v-","CHECK: STORE SKU STARTS WITH v-",IF(COUNTIF($D:$D,D47)&gt;1,"DUPLICATE STORE SKU",IF(COUNTIFS($A:$A,A47,$B:$B,B47,$C:$C,C47)&gt;1,"DUPLICATE COLOUR + SIZE","OK"))))))</f>
        <v/>
      </c>
    </row>
    <row r="48">
      <c r="A48" s="9" t="n"/>
      <c r="B48" s="9" t="n"/>
      <c r="C48" s="9" t="n"/>
      <c r="D48" s="9" t="n"/>
      <c r="E48" s="11" t="n"/>
      <c r="F48" s="13" t="n"/>
      <c r="G48" s="11" t="n"/>
      <c r="H48" s="13" t="n"/>
      <c r="I48" s="14">
        <f>IF(A48="","",IF(F48&lt;&gt;"",F48,IFERROR(INDEX(Products!$C:$C,MATCH(A48,Products!$A:$A,0)),"")))</f>
        <v/>
      </c>
      <c r="J48" s="14">
        <f>IF(OR(I48="",H48=""),"",I48-H48)</f>
        <v/>
      </c>
      <c r="K48" s="12">
        <f>IF(A48="","",IF(ISNA(MATCH(A48,Products!$A:$A,0)),"NAME NOT IN PRODUCTS",IF(D48="","ADD STORE SKU",IF(LEFT(D48,2)&lt;&gt;"v-","CHECK: STORE SKU STARTS WITH v-",IF(COUNTIF($D:$D,D48)&gt;1,"DUPLICATE STORE SKU",IF(COUNTIFS($A:$A,A48,$B:$B,B48,$C:$C,C48)&gt;1,"DUPLICATE COLOUR + SIZE","OK"))))))</f>
        <v/>
      </c>
    </row>
    <row r="49">
      <c r="A49" s="9" t="n"/>
      <c r="B49" s="9" t="n"/>
      <c r="C49" s="9" t="n"/>
      <c r="D49" s="9" t="n"/>
      <c r="E49" s="11" t="n"/>
      <c r="F49" s="13" t="n"/>
      <c r="G49" s="11" t="n"/>
      <c r="H49" s="13" t="n"/>
      <c r="I49" s="14">
        <f>IF(A49="","",IF(F49&lt;&gt;"",F49,IFERROR(INDEX(Products!$C:$C,MATCH(A49,Products!$A:$A,0)),"")))</f>
        <v/>
      </c>
      <c r="J49" s="14">
        <f>IF(OR(I49="",H49=""),"",I49-H49)</f>
        <v/>
      </c>
      <c r="K49" s="12">
        <f>IF(A49="","",IF(ISNA(MATCH(A49,Products!$A:$A,0)),"NAME NOT IN PRODUCTS",IF(D49="","ADD STORE SKU",IF(LEFT(D49,2)&lt;&gt;"v-","CHECK: STORE SKU STARTS WITH v-",IF(COUNTIF($D:$D,D49)&gt;1,"DUPLICATE STORE SKU",IF(COUNTIFS($A:$A,A49,$B:$B,B49,$C:$C,C49)&gt;1,"DUPLICATE COLOUR + SIZE","OK"))))))</f>
        <v/>
      </c>
    </row>
    <row r="50">
      <c r="A50" s="9" t="n"/>
      <c r="B50" s="9" t="n"/>
      <c r="C50" s="9" t="n"/>
      <c r="D50" s="9" t="n"/>
      <c r="E50" s="11" t="n"/>
      <c r="F50" s="13" t="n"/>
      <c r="G50" s="11" t="n"/>
      <c r="H50" s="13" t="n"/>
      <c r="I50" s="14">
        <f>IF(A50="","",IF(F50&lt;&gt;"",F50,IFERROR(INDEX(Products!$C:$C,MATCH(A50,Products!$A:$A,0)),"")))</f>
        <v/>
      </c>
      <c r="J50" s="14">
        <f>IF(OR(I50="",H50=""),"",I50-H50)</f>
        <v/>
      </c>
      <c r="K50" s="12">
        <f>IF(A50="","",IF(ISNA(MATCH(A50,Products!$A:$A,0)),"NAME NOT IN PRODUCTS",IF(D50="","ADD STORE SKU",IF(LEFT(D50,2)&lt;&gt;"v-","CHECK: STORE SKU STARTS WITH v-",IF(COUNTIF($D:$D,D50)&gt;1,"DUPLICATE STORE SKU",IF(COUNTIFS($A:$A,A50,$B:$B,B50,$C:$C,C50)&gt;1,"DUPLICATE COLOUR + SIZE","OK"))))))</f>
        <v/>
      </c>
    </row>
    <row r="51">
      <c r="A51" s="9" t="n"/>
      <c r="B51" s="9" t="n"/>
      <c r="C51" s="9" t="n"/>
      <c r="D51" s="9" t="n"/>
      <c r="E51" s="11" t="n"/>
      <c r="F51" s="13" t="n"/>
      <c r="G51" s="11" t="n"/>
      <c r="H51" s="13" t="n"/>
      <c r="I51" s="14">
        <f>IF(A51="","",IF(F51&lt;&gt;"",F51,IFERROR(INDEX(Products!$C:$C,MATCH(A51,Products!$A:$A,0)),"")))</f>
        <v/>
      </c>
      <c r="J51" s="14">
        <f>IF(OR(I51="",H51=""),"",I51-H51)</f>
        <v/>
      </c>
      <c r="K51" s="12">
        <f>IF(A51="","",IF(ISNA(MATCH(A51,Products!$A:$A,0)),"NAME NOT IN PRODUCTS",IF(D51="","ADD STORE SKU",IF(LEFT(D51,2)&lt;&gt;"v-","CHECK: STORE SKU STARTS WITH v-",IF(COUNTIF($D:$D,D51)&gt;1,"DUPLICATE STORE SKU",IF(COUNTIFS($A:$A,A51,$B:$B,B51,$C:$C,C51)&gt;1,"DUPLICATE COLOUR + SIZE","OK"))))))</f>
        <v/>
      </c>
    </row>
    <row r="52">
      <c r="A52" s="9" t="n"/>
      <c r="B52" s="9" t="n"/>
      <c r="C52" s="9" t="n"/>
      <c r="D52" s="9" t="n"/>
      <c r="E52" s="11" t="n"/>
      <c r="F52" s="13" t="n"/>
      <c r="G52" s="11" t="n"/>
      <c r="H52" s="13" t="n"/>
      <c r="I52" s="14">
        <f>IF(A52="","",IF(F52&lt;&gt;"",F52,IFERROR(INDEX(Products!$C:$C,MATCH(A52,Products!$A:$A,0)),"")))</f>
        <v/>
      </c>
      <c r="J52" s="14">
        <f>IF(OR(I52="",H52=""),"",I52-H52)</f>
        <v/>
      </c>
      <c r="K52" s="12">
        <f>IF(A52="","",IF(ISNA(MATCH(A52,Products!$A:$A,0)),"NAME NOT IN PRODUCTS",IF(D52="","ADD STORE SKU",IF(LEFT(D52,2)&lt;&gt;"v-","CHECK: STORE SKU STARTS WITH v-",IF(COUNTIF($D:$D,D52)&gt;1,"DUPLICATE STORE SKU",IF(COUNTIFS($A:$A,A52,$B:$B,B52,$C:$C,C52)&gt;1,"DUPLICATE COLOUR + SIZE","OK"))))))</f>
        <v/>
      </c>
    </row>
    <row r="53">
      <c r="A53" s="9" t="n"/>
      <c r="B53" s="9" t="n"/>
      <c r="C53" s="9" t="n"/>
      <c r="D53" s="9" t="n"/>
      <c r="E53" s="11" t="n"/>
      <c r="F53" s="13" t="n"/>
      <c r="G53" s="11" t="n"/>
      <c r="H53" s="13" t="n"/>
      <c r="I53" s="14">
        <f>IF(A53="","",IF(F53&lt;&gt;"",F53,IFERROR(INDEX(Products!$C:$C,MATCH(A53,Products!$A:$A,0)),"")))</f>
        <v/>
      </c>
      <c r="J53" s="14">
        <f>IF(OR(I53="",H53=""),"",I53-H53)</f>
        <v/>
      </c>
      <c r="K53" s="12">
        <f>IF(A53="","",IF(ISNA(MATCH(A53,Products!$A:$A,0)),"NAME NOT IN PRODUCTS",IF(D53="","ADD STORE SKU",IF(LEFT(D53,2)&lt;&gt;"v-","CHECK: STORE SKU STARTS WITH v-",IF(COUNTIF($D:$D,D53)&gt;1,"DUPLICATE STORE SKU",IF(COUNTIFS($A:$A,A53,$B:$B,B53,$C:$C,C53)&gt;1,"DUPLICATE COLOUR + SIZE","OK"))))))</f>
        <v/>
      </c>
    </row>
    <row r="54">
      <c r="A54" s="9" t="n"/>
      <c r="B54" s="9" t="n"/>
      <c r="C54" s="9" t="n"/>
      <c r="D54" s="9" t="n"/>
      <c r="E54" s="11" t="n"/>
      <c r="F54" s="13" t="n"/>
      <c r="G54" s="11" t="n"/>
      <c r="H54" s="13" t="n"/>
      <c r="I54" s="14">
        <f>IF(A54="","",IF(F54&lt;&gt;"",F54,IFERROR(INDEX(Products!$C:$C,MATCH(A54,Products!$A:$A,0)),"")))</f>
        <v/>
      </c>
      <c r="J54" s="14">
        <f>IF(OR(I54="",H54=""),"",I54-H54)</f>
        <v/>
      </c>
      <c r="K54" s="12">
        <f>IF(A54="","",IF(ISNA(MATCH(A54,Products!$A:$A,0)),"NAME NOT IN PRODUCTS",IF(D54="","ADD STORE SKU",IF(LEFT(D54,2)&lt;&gt;"v-","CHECK: STORE SKU STARTS WITH v-",IF(COUNTIF($D:$D,D54)&gt;1,"DUPLICATE STORE SKU",IF(COUNTIFS($A:$A,A54,$B:$B,B54,$C:$C,C54)&gt;1,"DUPLICATE COLOUR + SIZE","OK"))))))</f>
        <v/>
      </c>
    </row>
    <row r="55">
      <c r="A55" s="9" t="n"/>
      <c r="B55" s="9" t="n"/>
      <c r="C55" s="9" t="n"/>
      <c r="D55" s="9" t="n"/>
      <c r="E55" s="11" t="n"/>
      <c r="F55" s="13" t="n"/>
      <c r="G55" s="11" t="n"/>
      <c r="H55" s="13" t="n"/>
      <c r="I55" s="14">
        <f>IF(A55="","",IF(F55&lt;&gt;"",F55,IFERROR(INDEX(Products!$C:$C,MATCH(A55,Products!$A:$A,0)),"")))</f>
        <v/>
      </c>
      <c r="J55" s="14">
        <f>IF(OR(I55="",H55=""),"",I55-H55)</f>
        <v/>
      </c>
      <c r="K55" s="12">
        <f>IF(A55="","",IF(ISNA(MATCH(A55,Products!$A:$A,0)),"NAME NOT IN PRODUCTS",IF(D55="","ADD STORE SKU",IF(LEFT(D55,2)&lt;&gt;"v-","CHECK: STORE SKU STARTS WITH v-",IF(COUNTIF($D:$D,D55)&gt;1,"DUPLICATE STORE SKU",IF(COUNTIFS($A:$A,A55,$B:$B,B55,$C:$C,C55)&gt;1,"DUPLICATE COLOUR + SIZE","OK"))))))</f>
        <v/>
      </c>
    </row>
    <row r="56">
      <c r="A56" s="9" t="n"/>
      <c r="B56" s="9" t="n"/>
      <c r="C56" s="9" t="n"/>
      <c r="D56" s="9" t="n"/>
      <c r="E56" s="11" t="n"/>
      <c r="F56" s="13" t="n"/>
      <c r="G56" s="11" t="n"/>
      <c r="H56" s="13" t="n"/>
      <c r="I56" s="14">
        <f>IF(A56="","",IF(F56&lt;&gt;"",F56,IFERROR(INDEX(Products!$C:$C,MATCH(A56,Products!$A:$A,0)),"")))</f>
        <v/>
      </c>
      <c r="J56" s="14">
        <f>IF(OR(I56="",H56=""),"",I56-H56)</f>
        <v/>
      </c>
      <c r="K56" s="12">
        <f>IF(A56="","",IF(ISNA(MATCH(A56,Products!$A:$A,0)),"NAME NOT IN PRODUCTS",IF(D56="","ADD STORE SKU",IF(LEFT(D56,2)&lt;&gt;"v-","CHECK: STORE SKU STARTS WITH v-",IF(COUNTIF($D:$D,D56)&gt;1,"DUPLICATE STORE SKU",IF(COUNTIFS($A:$A,A56,$B:$B,B56,$C:$C,C56)&gt;1,"DUPLICATE COLOUR + SIZE","OK"))))))</f>
        <v/>
      </c>
    </row>
    <row r="57">
      <c r="A57" s="9" t="n"/>
      <c r="B57" s="9" t="n"/>
      <c r="C57" s="9" t="n"/>
      <c r="D57" s="9" t="n"/>
      <c r="E57" s="11" t="n"/>
      <c r="F57" s="13" t="n"/>
      <c r="G57" s="11" t="n"/>
      <c r="H57" s="13" t="n"/>
      <c r="I57" s="14">
        <f>IF(A57="","",IF(F57&lt;&gt;"",F57,IFERROR(INDEX(Products!$C:$C,MATCH(A57,Products!$A:$A,0)),"")))</f>
        <v/>
      </c>
      <c r="J57" s="14">
        <f>IF(OR(I57="",H57=""),"",I57-H57)</f>
        <v/>
      </c>
      <c r="K57" s="12">
        <f>IF(A57="","",IF(ISNA(MATCH(A57,Products!$A:$A,0)),"NAME NOT IN PRODUCTS",IF(D57="","ADD STORE SKU",IF(LEFT(D57,2)&lt;&gt;"v-","CHECK: STORE SKU STARTS WITH v-",IF(COUNTIF($D:$D,D57)&gt;1,"DUPLICATE STORE SKU",IF(COUNTIFS($A:$A,A57,$B:$B,B57,$C:$C,C57)&gt;1,"DUPLICATE COLOUR + SIZE","OK"))))))</f>
        <v/>
      </c>
    </row>
    <row r="58">
      <c r="A58" s="9" t="n"/>
      <c r="B58" s="9" t="n"/>
      <c r="C58" s="9" t="n"/>
      <c r="D58" s="9" t="n"/>
      <c r="E58" s="11" t="n"/>
      <c r="F58" s="13" t="n"/>
      <c r="G58" s="11" t="n"/>
      <c r="H58" s="13" t="n"/>
      <c r="I58" s="14">
        <f>IF(A58="","",IF(F58&lt;&gt;"",F58,IFERROR(INDEX(Products!$C:$C,MATCH(A58,Products!$A:$A,0)),"")))</f>
        <v/>
      </c>
      <c r="J58" s="14">
        <f>IF(OR(I58="",H58=""),"",I58-H58)</f>
        <v/>
      </c>
      <c r="K58" s="12">
        <f>IF(A58="","",IF(ISNA(MATCH(A58,Products!$A:$A,0)),"NAME NOT IN PRODUCTS",IF(D58="","ADD STORE SKU",IF(LEFT(D58,2)&lt;&gt;"v-","CHECK: STORE SKU STARTS WITH v-",IF(COUNTIF($D:$D,D58)&gt;1,"DUPLICATE STORE SKU",IF(COUNTIFS($A:$A,A58,$B:$B,B58,$C:$C,C58)&gt;1,"DUPLICATE COLOUR + SIZE","OK"))))))</f>
        <v/>
      </c>
    </row>
    <row r="59">
      <c r="A59" s="9" t="n"/>
      <c r="B59" s="9" t="n"/>
      <c r="C59" s="9" t="n"/>
      <c r="D59" s="9" t="n"/>
      <c r="E59" s="11" t="n"/>
      <c r="F59" s="13" t="n"/>
      <c r="G59" s="11" t="n"/>
      <c r="H59" s="13" t="n"/>
      <c r="I59" s="14">
        <f>IF(A59="","",IF(F59&lt;&gt;"",F59,IFERROR(INDEX(Products!$C:$C,MATCH(A59,Products!$A:$A,0)),"")))</f>
        <v/>
      </c>
      <c r="J59" s="14">
        <f>IF(OR(I59="",H59=""),"",I59-H59)</f>
        <v/>
      </c>
      <c r="K59" s="12">
        <f>IF(A59="","",IF(ISNA(MATCH(A59,Products!$A:$A,0)),"NAME NOT IN PRODUCTS",IF(D59="","ADD STORE SKU",IF(LEFT(D59,2)&lt;&gt;"v-","CHECK: STORE SKU STARTS WITH v-",IF(COUNTIF($D:$D,D59)&gt;1,"DUPLICATE STORE SKU",IF(COUNTIFS($A:$A,A59,$B:$B,B59,$C:$C,C59)&gt;1,"DUPLICATE COLOUR + SIZE","OK"))))))</f>
        <v/>
      </c>
    </row>
    <row r="60">
      <c r="A60" s="9" t="n"/>
      <c r="B60" s="9" t="n"/>
      <c r="C60" s="9" t="n"/>
      <c r="D60" s="9" t="n"/>
      <c r="E60" s="11" t="n"/>
      <c r="F60" s="13" t="n"/>
      <c r="G60" s="11" t="n"/>
      <c r="H60" s="13" t="n"/>
      <c r="I60" s="14">
        <f>IF(A60="","",IF(F60&lt;&gt;"",F60,IFERROR(INDEX(Products!$C:$C,MATCH(A60,Products!$A:$A,0)),"")))</f>
        <v/>
      </c>
      <c r="J60" s="14">
        <f>IF(OR(I60="",H60=""),"",I60-H60)</f>
        <v/>
      </c>
      <c r="K60" s="12">
        <f>IF(A60="","",IF(ISNA(MATCH(A60,Products!$A:$A,0)),"NAME NOT IN PRODUCTS",IF(D60="","ADD STORE SKU",IF(LEFT(D60,2)&lt;&gt;"v-","CHECK: STORE SKU STARTS WITH v-",IF(COUNTIF($D:$D,D60)&gt;1,"DUPLICATE STORE SKU",IF(COUNTIFS($A:$A,A60,$B:$B,B60,$C:$C,C60)&gt;1,"DUPLICATE COLOUR + SIZE","OK"))))))</f>
        <v/>
      </c>
    </row>
    <row r="61">
      <c r="A61" s="9" t="n"/>
      <c r="B61" s="9" t="n"/>
      <c r="C61" s="9" t="n"/>
      <c r="D61" s="9" t="n"/>
      <c r="E61" s="11" t="n"/>
      <c r="F61" s="13" t="n"/>
      <c r="G61" s="11" t="n"/>
      <c r="H61" s="13" t="n"/>
      <c r="I61" s="14">
        <f>IF(A61="","",IF(F61&lt;&gt;"",F61,IFERROR(INDEX(Products!$C:$C,MATCH(A61,Products!$A:$A,0)),"")))</f>
        <v/>
      </c>
      <c r="J61" s="14">
        <f>IF(OR(I61="",H61=""),"",I61-H61)</f>
        <v/>
      </c>
      <c r="K61" s="12">
        <f>IF(A61="","",IF(ISNA(MATCH(A61,Products!$A:$A,0)),"NAME NOT IN PRODUCTS",IF(D61="","ADD STORE SKU",IF(LEFT(D61,2)&lt;&gt;"v-","CHECK: STORE SKU STARTS WITH v-",IF(COUNTIF($D:$D,D61)&gt;1,"DUPLICATE STORE SKU",IF(COUNTIFS($A:$A,A61,$B:$B,B61,$C:$C,C61)&gt;1,"DUPLICATE COLOUR + SIZE","OK"))))))</f>
        <v/>
      </c>
    </row>
    <row r="62">
      <c r="A62" s="9" t="n"/>
      <c r="B62" s="9" t="n"/>
      <c r="C62" s="9" t="n"/>
      <c r="D62" s="9" t="n"/>
      <c r="E62" s="11" t="n"/>
      <c r="F62" s="13" t="n"/>
      <c r="G62" s="11" t="n"/>
      <c r="H62" s="13" t="n"/>
      <c r="I62" s="14">
        <f>IF(A62="","",IF(F62&lt;&gt;"",F62,IFERROR(INDEX(Products!$C:$C,MATCH(A62,Products!$A:$A,0)),"")))</f>
        <v/>
      </c>
      <c r="J62" s="14">
        <f>IF(OR(I62="",H62=""),"",I62-H62)</f>
        <v/>
      </c>
      <c r="K62" s="12">
        <f>IF(A62="","",IF(ISNA(MATCH(A62,Products!$A:$A,0)),"NAME NOT IN PRODUCTS",IF(D62="","ADD STORE SKU",IF(LEFT(D62,2)&lt;&gt;"v-","CHECK: STORE SKU STARTS WITH v-",IF(COUNTIF($D:$D,D62)&gt;1,"DUPLICATE STORE SKU",IF(COUNTIFS($A:$A,A62,$B:$B,B62,$C:$C,C62)&gt;1,"DUPLICATE COLOUR + SIZE","OK"))))))</f>
        <v/>
      </c>
    </row>
    <row r="63">
      <c r="A63" s="9" t="n"/>
      <c r="B63" s="9" t="n"/>
      <c r="C63" s="9" t="n"/>
      <c r="D63" s="9" t="n"/>
      <c r="E63" s="11" t="n"/>
      <c r="F63" s="13" t="n"/>
      <c r="G63" s="11" t="n"/>
      <c r="H63" s="13" t="n"/>
      <c r="I63" s="14">
        <f>IF(A63="","",IF(F63&lt;&gt;"",F63,IFERROR(INDEX(Products!$C:$C,MATCH(A63,Products!$A:$A,0)),"")))</f>
        <v/>
      </c>
      <c r="J63" s="14">
        <f>IF(OR(I63="",H63=""),"",I63-H63)</f>
        <v/>
      </c>
      <c r="K63" s="12">
        <f>IF(A63="","",IF(ISNA(MATCH(A63,Products!$A:$A,0)),"NAME NOT IN PRODUCTS",IF(D63="","ADD STORE SKU",IF(LEFT(D63,2)&lt;&gt;"v-","CHECK: STORE SKU STARTS WITH v-",IF(COUNTIF($D:$D,D63)&gt;1,"DUPLICATE STORE SKU",IF(COUNTIFS($A:$A,A63,$B:$B,B63,$C:$C,C63)&gt;1,"DUPLICATE COLOUR + SIZE","OK"))))))</f>
        <v/>
      </c>
    </row>
    <row r="64">
      <c r="A64" s="9" t="n"/>
      <c r="B64" s="9" t="n"/>
      <c r="C64" s="9" t="n"/>
      <c r="D64" s="9" t="n"/>
      <c r="E64" s="11" t="n"/>
      <c r="F64" s="13" t="n"/>
      <c r="G64" s="11" t="n"/>
      <c r="H64" s="13" t="n"/>
      <c r="I64" s="14">
        <f>IF(A64="","",IF(F64&lt;&gt;"",F64,IFERROR(INDEX(Products!$C:$C,MATCH(A64,Products!$A:$A,0)),"")))</f>
        <v/>
      </c>
      <c r="J64" s="14">
        <f>IF(OR(I64="",H64=""),"",I64-H64)</f>
        <v/>
      </c>
      <c r="K64" s="12">
        <f>IF(A64="","",IF(ISNA(MATCH(A64,Products!$A:$A,0)),"NAME NOT IN PRODUCTS",IF(D64="","ADD STORE SKU",IF(LEFT(D64,2)&lt;&gt;"v-","CHECK: STORE SKU STARTS WITH v-",IF(COUNTIF($D:$D,D64)&gt;1,"DUPLICATE STORE SKU",IF(COUNTIFS($A:$A,A64,$B:$B,B64,$C:$C,C64)&gt;1,"DUPLICATE COLOUR + SIZE","OK"))))))</f>
        <v/>
      </c>
    </row>
    <row r="65">
      <c r="A65" s="9" t="n"/>
      <c r="B65" s="9" t="n"/>
      <c r="C65" s="9" t="n"/>
      <c r="D65" s="9" t="n"/>
      <c r="E65" s="11" t="n"/>
      <c r="F65" s="13" t="n"/>
      <c r="G65" s="11" t="n"/>
      <c r="H65" s="13" t="n"/>
      <c r="I65" s="14">
        <f>IF(A65="","",IF(F65&lt;&gt;"",F65,IFERROR(INDEX(Products!$C:$C,MATCH(A65,Products!$A:$A,0)),"")))</f>
        <v/>
      </c>
      <c r="J65" s="14">
        <f>IF(OR(I65="",H65=""),"",I65-H65)</f>
        <v/>
      </c>
      <c r="K65" s="12">
        <f>IF(A65="","",IF(ISNA(MATCH(A65,Products!$A:$A,0)),"NAME NOT IN PRODUCTS",IF(D65="","ADD STORE SKU",IF(LEFT(D65,2)&lt;&gt;"v-","CHECK: STORE SKU STARTS WITH v-",IF(COUNTIF($D:$D,D65)&gt;1,"DUPLICATE STORE SKU",IF(COUNTIFS($A:$A,A65,$B:$B,B65,$C:$C,C65)&gt;1,"DUPLICATE COLOUR + SIZE","OK"))))))</f>
        <v/>
      </c>
    </row>
    <row r="66">
      <c r="A66" s="9" t="n"/>
      <c r="B66" s="9" t="n"/>
      <c r="C66" s="9" t="n"/>
      <c r="D66" s="9" t="n"/>
      <c r="E66" s="11" t="n"/>
      <c r="F66" s="13" t="n"/>
      <c r="G66" s="11" t="n"/>
      <c r="H66" s="13" t="n"/>
      <c r="I66" s="14">
        <f>IF(A66="","",IF(F66&lt;&gt;"",F66,IFERROR(INDEX(Products!$C:$C,MATCH(A66,Products!$A:$A,0)),"")))</f>
        <v/>
      </c>
      <c r="J66" s="14">
        <f>IF(OR(I66="",H66=""),"",I66-H66)</f>
        <v/>
      </c>
      <c r="K66" s="12">
        <f>IF(A66="","",IF(ISNA(MATCH(A66,Products!$A:$A,0)),"NAME NOT IN PRODUCTS",IF(D66="","ADD STORE SKU",IF(LEFT(D66,2)&lt;&gt;"v-","CHECK: STORE SKU STARTS WITH v-",IF(COUNTIF($D:$D,D66)&gt;1,"DUPLICATE STORE SKU",IF(COUNTIFS($A:$A,A66,$B:$B,B66,$C:$C,C66)&gt;1,"DUPLICATE COLOUR + SIZE","OK"))))))</f>
        <v/>
      </c>
    </row>
    <row r="67">
      <c r="A67" s="9" t="n"/>
      <c r="B67" s="9" t="n"/>
      <c r="C67" s="9" t="n"/>
      <c r="D67" s="9" t="n"/>
      <c r="E67" s="11" t="n"/>
      <c r="F67" s="13" t="n"/>
      <c r="G67" s="11" t="n"/>
      <c r="H67" s="13" t="n"/>
      <c r="I67" s="14">
        <f>IF(A67="","",IF(F67&lt;&gt;"",F67,IFERROR(INDEX(Products!$C:$C,MATCH(A67,Products!$A:$A,0)),"")))</f>
        <v/>
      </c>
      <c r="J67" s="14">
        <f>IF(OR(I67="",H67=""),"",I67-H67)</f>
        <v/>
      </c>
      <c r="K67" s="12">
        <f>IF(A67="","",IF(ISNA(MATCH(A67,Products!$A:$A,0)),"NAME NOT IN PRODUCTS",IF(D67="","ADD STORE SKU",IF(LEFT(D67,2)&lt;&gt;"v-","CHECK: STORE SKU STARTS WITH v-",IF(COUNTIF($D:$D,D67)&gt;1,"DUPLICATE STORE SKU",IF(COUNTIFS($A:$A,A67,$B:$B,B67,$C:$C,C67)&gt;1,"DUPLICATE COLOUR + SIZE","OK"))))))</f>
        <v/>
      </c>
    </row>
    <row r="68">
      <c r="A68" s="9" t="n"/>
      <c r="B68" s="9" t="n"/>
      <c r="C68" s="9" t="n"/>
      <c r="D68" s="9" t="n"/>
      <c r="E68" s="11" t="n"/>
      <c r="F68" s="13" t="n"/>
      <c r="G68" s="11" t="n"/>
      <c r="H68" s="13" t="n"/>
      <c r="I68" s="14">
        <f>IF(A68="","",IF(F68&lt;&gt;"",F68,IFERROR(INDEX(Products!$C:$C,MATCH(A68,Products!$A:$A,0)),"")))</f>
        <v/>
      </c>
      <c r="J68" s="14">
        <f>IF(OR(I68="",H68=""),"",I68-H68)</f>
        <v/>
      </c>
      <c r="K68" s="12">
        <f>IF(A68="","",IF(ISNA(MATCH(A68,Products!$A:$A,0)),"NAME NOT IN PRODUCTS",IF(D68="","ADD STORE SKU",IF(LEFT(D68,2)&lt;&gt;"v-","CHECK: STORE SKU STARTS WITH v-",IF(COUNTIF($D:$D,D68)&gt;1,"DUPLICATE STORE SKU",IF(COUNTIFS($A:$A,A68,$B:$B,B68,$C:$C,C68)&gt;1,"DUPLICATE COLOUR + SIZE","OK"))))))</f>
        <v/>
      </c>
    </row>
    <row r="69">
      <c r="A69" s="9" t="n"/>
      <c r="B69" s="9" t="n"/>
      <c r="C69" s="9" t="n"/>
      <c r="D69" s="9" t="n"/>
      <c r="E69" s="11" t="n"/>
      <c r="F69" s="13" t="n"/>
      <c r="G69" s="11" t="n"/>
      <c r="H69" s="13" t="n"/>
      <c r="I69" s="14">
        <f>IF(A69="","",IF(F69&lt;&gt;"",F69,IFERROR(INDEX(Products!$C:$C,MATCH(A69,Products!$A:$A,0)),"")))</f>
        <v/>
      </c>
      <c r="J69" s="14">
        <f>IF(OR(I69="",H69=""),"",I69-H69)</f>
        <v/>
      </c>
      <c r="K69" s="12">
        <f>IF(A69="","",IF(ISNA(MATCH(A69,Products!$A:$A,0)),"NAME NOT IN PRODUCTS",IF(D69="","ADD STORE SKU",IF(LEFT(D69,2)&lt;&gt;"v-","CHECK: STORE SKU STARTS WITH v-",IF(COUNTIF($D:$D,D69)&gt;1,"DUPLICATE STORE SKU",IF(COUNTIFS($A:$A,A69,$B:$B,B69,$C:$C,C69)&gt;1,"DUPLICATE COLOUR + SIZE","OK"))))))</f>
        <v/>
      </c>
    </row>
    <row r="70">
      <c r="A70" s="9" t="n"/>
      <c r="B70" s="9" t="n"/>
      <c r="C70" s="9" t="n"/>
      <c r="D70" s="9" t="n"/>
      <c r="E70" s="11" t="n"/>
      <c r="F70" s="13" t="n"/>
      <c r="G70" s="11" t="n"/>
      <c r="H70" s="13" t="n"/>
      <c r="I70" s="14">
        <f>IF(A70="","",IF(F70&lt;&gt;"",F70,IFERROR(INDEX(Products!$C:$C,MATCH(A70,Products!$A:$A,0)),"")))</f>
        <v/>
      </c>
      <c r="J70" s="14">
        <f>IF(OR(I70="",H70=""),"",I70-H70)</f>
        <v/>
      </c>
      <c r="K70" s="12">
        <f>IF(A70="","",IF(ISNA(MATCH(A70,Products!$A:$A,0)),"NAME NOT IN PRODUCTS",IF(D70="","ADD STORE SKU",IF(LEFT(D70,2)&lt;&gt;"v-","CHECK: STORE SKU STARTS WITH v-",IF(COUNTIF($D:$D,D70)&gt;1,"DUPLICATE STORE SKU",IF(COUNTIFS($A:$A,A70,$B:$B,B70,$C:$C,C70)&gt;1,"DUPLICATE COLOUR + SIZE","OK"))))))</f>
        <v/>
      </c>
    </row>
    <row r="71">
      <c r="A71" s="9" t="n"/>
      <c r="B71" s="9" t="n"/>
      <c r="C71" s="9" t="n"/>
      <c r="D71" s="9" t="n"/>
      <c r="E71" s="11" t="n"/>
      <c r="F71" s="13" t="n"/>
      <c r="G71" s="11" t="n"/>
      <c r="H71" s="13" t="n"/>
      <c r="I71" s="14">
        <f>IF(A71="","",IF(F71&lt;&gt;"",F71,IFERROR(INDEX(Products!$C:$C,MATCH(A71,Products!$A:$A,0)),"")))</f>
        <v/>
      </c>
      <c r="J71" s="14">
        <f>IF(OR(I71="",H71=""),"",I71-H71)</f>
        <v/>
      </c>
      <c r="K71" s="12">
        <f>IF(A71="","",IF(ISNA(MATCH(A71,Products!$A:$A,0)),"NAME NOT IN PRODUCTS",IF(D71="","ADD STORE SKU",IF(LEFT(D71,2)&lt;&gt;"v-","CHECK: STORE SKU STARTS WITH v-",IF(COUNTIF($D:$D,D71)&gt;1,"DUPLICATE STORE SKU",IF(COUNTIFS($A:$A,A71,$B:$B,B71,$C:$C,C71)&gt;1,"DUPLICATE COLOUR + SIZE","OK"))))))</f>
        <v/>
      </c>
    </row>
    <row r="72">
      <c r="A72" s="9" t="n"/>
      <c r="B72" s="9" t="n"/>
      <c r="C72" s="9" t="n"/>
      <c r="D72" s="9" t="n"/>
      <c r="E72" s="11" t="n"/>
      <c r="F72" s="13" t="n"/>
      <c r="G72" s="11" t="n"/>
      <c r="H72" s="13" t="n"/>
      <c r="I72" s="14">
        <f>IF(A72="","",IF(F72&lt;&gt;"",F72,IFERROR(INDEX(Products!$C:$C,MATCH(A72,Products!$A:$A,0)),"")))</f>
        <v/>
      </c>
      <c r="J72" s="14">
        <f>IF(OR(I72="",H72=""),"",I72-H72)</f>
        <v/>
      </c>
      <c r="K72" s="12">
        <f>IF(A72="","",IF(ISNA(MATCH(A72,Products!$A:$A,0)),"NAME NOT IN PRODUCTS",IF(D72="","ADD STORE SKU",IF(LEFT(D72,2)&lt;&gt;"v-","CHECK: STORE SKU STARTS WITH v-",IF(COUNTIF($D:$D,D72)&gt;1,"DUPLICATE STORE SKU",IF(COUNTIFS($A:$A,A72,$B:$B,B72,$C:$C,C72)&gt;1,"DUPLICATE COLOUR + SIZE","OK"))))))</f>
        <v/>
      </c>
    </row>
    <row r="73">
      <c r="A73" s="9" t="n"/>
      <c r="B73" s="9" t="n"/>
      <c r="C73" s="9" t="n"/>
      <c r="D73" s="9" t="n"/>
      <c r="E73" s="11" t="n"/>
      <c r="F73" s="13" t="n"/>
      <c r="G73" s="11" t="n"/>
      <c r="H73" s="13" t="n"/>
      <c r="I73" s="14">
        <f>IF(A73="","",IF(F73&lt;&gt;"",F73,IFERROR(INDEX(Products!$C:$C,MATCH(A73,Products!$A:$A,0)),"")))</f>
        <v/>
      </c>
      <c r="J73" s="14">
        <f>IF(OR(I73="",H73=""),"",I73-H73)</f>
        <v/>
      </c>
      <c r="K73" s="12">
        <f>IF(A73="","",IF(ISNA(MATCH(A73,Products!$A:$A,0)),"NAME NOT IN PRODUCTS",IF(D73="","ADD STORE SKU",IF(LEFT(D73,2)&lt;&gt;"v-","CHECK: STORE SKU STARTS WITH v-",IF(COUNTIF($D:$D,D73)&gt;1,"DUPLICATE STORE SKU",IF(COUNTIFS($A:$A,A73,$B:$B,B73,$C:$C,C73)&gt;1,"DUPLICATE COLOUR + SIZE","OK"))))))</f>
        <v/>
      </c>
    </row>
    <row r="74">
      <c r="A74" s="9" t="n"/>
      <c r="B74" s="9" t="n"/>
      <c r="C74" s="9" t="n"/>
      <c r="D74" s="9" t="n"/>
      <c r="E74" s="11" t="n"/>
      <c r="F74" s="13" t="n"/>
      <c r="G74" s="11" t="n"/>
      <c r="H74" s="13" t="n"/>
      <c r="I74" s="14">
        <f>IF(A74="","",IF(F74&lt;&gt;"",F74,IFERROR(INDEX(Products!$C:$C,MATCH(A74,Products!$A:$A,0)),"")))</f>
        <v/>
      </c>
      <c r="J74" s="14">
        <f>IF(OR(I74="",H74=""),"",I74-H74)</f>
        <v/>
      </c>
      <c r="K74" s="12">
        <f>IF(A74="","",IF(ISNA(MATCH(A74,Products!$A:$A,0)),"NAME NOT IN PRODUCTS",IF(D74="","ADD STORE SKU",IF(LEFT(D74,2)&lt;&gt;"v-","CHECK: STORE SKU STARTS WITH v-",IF(COUNTIF($D:$D,D74)&gt;1,"DUPLICATE STORE SKU",IF(COUNTIFS($A:$A,A74,$B:$B,B74,$C:$C,C74)&gt;1,"DUPLICATE COLOUR + SIZE","OK"))))))</f>
        <v/>
      </c>
    </row>
    <row r="75">
      <c r="A75" s="9" t="n"/>
      <c r="B75" s="9" t="n"/>
      <c r="C75" s="9" t="n"/>
      <c r="D75" s="9" t="n"/>
      <c r="E75" s="11" t="n"/>
      <c r="F75" s="13" t="n"/>
      <c r="G75" s="11" t="n"/>
      <c r="H75" s="13" t="n"/>
      <c r="I75" s="14">
        <f>IF(A75="","",IF(F75&lt;&gt;"",F75,IFERROR(INDEX(Products!$C:$C,MATCH(A75,Products!$A:$A,0)),"")))</f>
        <v/>
      </c>
      <c r="J75" s="14">
        <f>IF(OR(I75="",H75=""),"",I75-H75)</f>
        <v/>
      </c>
      <c r="K75" s="12">
        <f>IF(A75="","",IF(ISNA(MATCH(A75,Products!$A:$A,0)),"NAME NOT IN PRODUCTS",IF(D75="","ADD STORE SKU",IF(LEFT(D75,2)&lt;&gt;"v-","CHECK: STORE SKU STARTS WITH v-",IF(COUNTIF($D:$D,D75)&gt;1,"DUPLICATE STORE SKU",IF(COUNTIFS($A:$A,A75,$B:$B,B75,$C:$C,C75)&gt;1,"DUPLICATE COLOUR + SIZE","OK"))))))</f>
        <v/>
      </c>
    </row>
    <row r="76">
      <c r="A76" s="9" t="n"/>
      <c r="B76" s="9" t="n"/>
      <c r="C76" s="9" t="n"/>
      <c r="D76" s="9" t="n"/>
      <c r="E76" s="11" t="n"/>
      <c r="F76" s="13" t="n"/>
      <c r="G76" s="11" t="n"/>
      <c r="H76" s="13" t="n"/>
      <c r="I76" s="14">
        <f>IF(A76="","",IF(F76&lt;&gt;"",F76,IFERROR(INDEX(Products!$C:$C,MATCH(A76,Products!$A:$A,0)),"")))</f>
        <v/>
      </c>
      <c r="J76" s="14">
        <f>IF(OR(I76="",H76=""),"",I76-H76)</f>
        <v/>
      </c>
      <c r="K76" s="12">
        <f>IF(A76="","",IF(ISNA(MATCH(A76,Products!$A:$A,0)),"NAME NOT IN PRODUCTS",IF(D76="","ADD STORE SKU",IF(LEFT(D76,2)&lt;&gt;"v-","CHECK: STORE SKU STARTS WITH v-",IF(COUNTIF($D:$D,D76)&gt;1,"DUPLICATE STORE SKU",IF(COUNTIFS($A:$A,A76,$B:$B,B76,$C:$C,C76)&gt;1,"DUPLICATE COLOUR + SIZE","OK"))))))</f>
        <v/>
      </c>
    </row>
    <row r="77">
      <c r="A77" s="9" t="n"/>
      <c r="B77" s="9" t="n"/>
      <c r="C77" s="9" t="n"/>
      <c r="D77" s="9" t="n"/>
      <c r="E77" s="11" t="n"/>
      <c r="F77" s="13" t="n"/>
      <c r="G77" s="11" t="n"/>
      <c r="H77" s="13" t="n"/>
      <c r="I77" s="14">
        <f>IF(A77="","",IF(F77&lt;&gt;"",F77,IFERROR(INDEX(Products!$C:$C,MATCH(A77,Products!$A:$A,0)),"")))</f>
        <v/>
      </c>
      <c r="J77" s="14">
        <f>IF(OR(I77="",H77=""),"",I77-H77)</f>
        <v/>
      </c>
      <c r="K77" s="12">
        <f>IF(A77="","",IF(ISNA(MATCH(A77,Products!$A:$A,0)),"NAME NOT IN PRODUCTS",IF(D77="","ADD STORE SKU",IF(LEFT(D77,2)&lt;&gt;"v-","CHECK: STORE SKU STARTS WITH v-",IF(COUNTIF($D:$D,D77)&gt;1,"DUPLICATE STORE SKU",IF(COUNTIFS($A:$A,A77,$B:$B,B77,$C:$C,C77)&gt;1,"DUPLICATE COLOUR + SIZE","OK"))))))</f>
        <v/>
      </c>
    </row>
    <row r="78">
      <c r="A78" s="9" t="n"/>
      <c r="B78" s="9" t="n"/>
      <c r="C78" s="9" t="n"/>
      <c r="D78" s="9" t="n"/>
      <c r="E78" s="11" t="n"/>
      <c r="F78" s="13" t="n"/>
      <c r="G78" s="11" t="n"/>
      <c r="H78" s="13" t="n"/>
      <c r="I78" s="14">
        <f>IF(A78="","",IF(F78&lt;&gt;"",F78,IFERROR(INDEX(Products!$C:$C,MATCH(A78,Products!$A:$A,0)),"")))</f>
        <v/>
      </c>
      <c r="J78" s="14">
        <f>IF(OR(I78="",H78=""),"",I78-H78)</f>
        <v/>
      </c>
      <c r="K78" s="12">
        <f>IF(A78="","",IF(ISNA(MATCH(A78,Products!$A:$A,0)),"NAME NOT IN PRODUCTS",IF(D78="","ADD STORE SKU",IF(LEFT(D78,2)&lt;&gt;"v-","CHECK: STORE SKU STARTS WITH v-",IF(COUNTIF($D:$D,D78)&gt;1,"DUPLICATE STORE SKU",IF(COUNTIFS($A:$A,A78,$B:$B,B78,$C:$C,C78)&gt;1,"DUPLICATE COLOUR + SIZE","OK"))))))</f>
        <v/>
      </c>
    </row>
    <row r="79">
      <c r="A79" s="9" t="n"/>
      <c r="B79" s="9" t="n"/>
      <c r="C79" s="9" t="n"/>
      <c r="D79" s="9" t="n"/>
      <c r="E79" s="11" t="n"/>
      <c r="F79" s="13" t="n"/>
      <c r="G79" s="11" t="n"/>
      <c r="H79" s="13" t="n"/>
      <c r="I79" s="14">
        <f>IF(A79="","",IF(F79&lt;&gt;"",F79,IFERROR(INDEX(Products!$C:$C,MATCH(A79,Products!$A:$A,0)),"")))</f>
        <v/>
      </c>
      <c r="J79" s="14">
        <f>IF(OR(I79="",H79=""),"",I79-H79)</f>
        <v/>
      </c>
      <c r="K79" s="12">
        <f>IF(A79="","",IF(ISNA(MATCH(A79,Products!$A:$A,0)),"NAME NOT IN PRODUCTS",IF(D79="","ADD STORE SKU",IF(LEFT(D79,2)&lt;&gt;"v-","CHECK: STORE SKU STARTS WITH v-",IF(COUNTIF($D:$D,D79)&gt;1,"DUPLICATE STORE SKU",IF(COUNTIFS($A:$A,A79,$B:$B,B79,$C:$C,C79)&gt;1,"DUPLICATE COLOUR + SIZE","OK"))))))</f>
        <v/>
      </c>
    </row>
    <row r="80">
      <c r="A80" s="9" t="n"/>
      <c r="B80" s="9" t="n"/>
      <c r="C80" s="9" t="n"/>
      <c r="D80" s="9" t="n"/>
      <c r="E80" s="11" t="n"/>
      <c r="F80" s="13" t="n"/>
      <c r="G80" s="11" t="n"/>
      <c r="H80" s="13" t="n"/>
      <c r="I80" s="14">
        <f>IF(A80="","",IF(F80&lt;&gt;"",F80,IFERROR(INDEX(Products!$C:$C,MATCH(A80,Products!$A:$A,0)),"")))</f>
        <v/>
      </c>
      <c r="J80" s="14">
        <f>IF(OR(I80="",H80=""),"",I80-H80)</f>
        <v/>
      </c>
      <c r="K80" s="12">
        <f>IF(A80="","",IF(ISNA(MATCH(A80,Products!$A:$A,0)),"NAME NOT IN PRODUCTS",IF(D80="","ADD STORE SKU",IF(LEFT(D80,2)&lt;&gt;"v-","CHECK: STORE SKU STARTS WITH v-",IF(COUNTIF($D:$D,D80)&gt;1,"DUPLICATE STORE SKU",IF(COUNTIFS($A:$A,A80,$B:$B,B80,$C:$C,C80)&gt;1,"DUPLICATE COLOUR + SIZE","OK"))))))</f>
        <v/>
      </c>
    </row>
    <row r="81">
      <c r="A81" s="9" t="n"/>
      <c r="B81" s="9" t="n"/>
      <c r="C81" s="9" t="n"/>
      <c r="D81" s="9" t="n"/>
      <c r="E81" s="11" t="n"/>
      <c r="F81" s="13" t="n"/>
      <c r="G81" s="11" t="n"/>
      <c r="H81" s="13" t="n"/>
      <c r="I81" s="14">
        <f>IF(A81="","",IF(F81&lt;&gt;"",F81,IFERROR(INDEX(Products!$C:$C,MATCH(A81,Products!$A:$A,0)),"")))</f>
        <v/>
      </c>
      <c r="J81" s="14">
        <f>IF(OR(I81="",H81=""),"",I81-H81)</f>
        <v/>
      </c>
      <c r="K81" s="12">
        <f>IF(A81="","",IF(ISNA(MATCH(A81,Products!$A:$A,0)),"NAME NOT IN PRODUCTS",IF(D81="","ADD STORE SKU",IF(LEFT(D81,2)&lt;&gt;"v-","CHECK: STORE SKU STARTS WITH v-",IF(COUNTIF($D:$D,D81)&gt;1,"DUPLICATE STORE SKU",IF(COUNTIFS($A:$A,A81,$B:$B,B81,$C:$C,C81)&gt;1,"DUPLICATE COLOUR + SIZE","OK"))))))</f>
        <v/>
      </c>
    </row>
    <row r="82">
      <c r="A82" s="9" t="n"/>
      <c r="B82" s="9" t="n"/>
      <c r="C82" s="9" t="n"/>
      <c r="D82" s="9" t="n"/>
      <c r="E82" s="11" t="n"/>
      <c r="F82" s="13" t="n"/>
      <c r="G82" s="11" t="n"/>
      <c r="H82" s="13" t="n"/>
      <c r="I82" s="14">
        <f>IF(A82="","",IF(F82&lt;&gt;"",F82,IFERROR(INDEX(Products!$C:$C,MATCH(A82,Products!$A:$A,0)),"")))</f>
        <v/>
      </c>
      <c r="J82" s="14">
        <f>IF(OR(I82="",H82=""),"",I82-H82)</f>
        <v/>
      </c>
      <c r="K82" s="12">
        <f>IF(A82="","",IF(ISNA(MATCH(A82,Products!$A:$A,0)),"NAME NOT IN PRODUCTS",IF(D82="","ADD STORE SKU",IF(LEFT(D82,2)&lt;&gt;"v-","CHECK: STORE SKU STARTS WITH v-",IF(COUNTIF($D:$D,D82)&gt;1,"DUPLICATE STORE SKU",IF(COUNTIFS($A:$A,A82,$B:$B,B82,$C:$C,C82)&gt;1,"DUPLICATE COLOUR + SIZE","OK"))))))</f>
        <v/>
      </c>
    </row>
    <row r="83">
      <c r="A83" s="9" t="n"/>
      <c r="B83" s="9" t="n"/>
      <c r="C83" s="9" t="n"/>
      <c r="D83" s="9" t="n"/>
      <c r="E83" s="11" t="n"/>
      <c r="F83" s="13" t="n"/>
      <c r="G83" s="11" t="n"/>
      <c r="H83" s="13" t="n"/>
      <c r="I83" s="14">
        <f>IF(A83="","",IF(F83&lt;&gt;"",F83,IFERROR(INDEX(Products!$C:$C,MATCH(A83,Products!$A:$A,0)),"")))</f>
        <v/>
      </c>
      <c r="J83" s="14">
        <f>IF(OR(I83="",H83=""),"",I83-H83)</f>
        <v/>
      </c>
      <c r="K83" s="12">
        <f>IF(A83="","",IF(ISNA(MATCH(A83,Products!$A:$A,0)),"NAME NOT IN PRODUCTS",IF(D83="","ADD STORE SKU",IF(LEFT(D83,2)&lt;&gt;"v-","CHECK: STORE SKU STARTS WITH v-",IF(COUNTIF($D:$D,D83)&gt;1,"DUPLICATE STORE SKU",IF(COUNTIFS($A:$A,A83,$B:$B,B83,$C:$C,C83)&gt;1,"DUPLICATE COLOUR + SIZE","OK"))))))</f>
        <v/>
      </c>
    </row>
    <row r="84">
      <c r="A84" s="9" t="n"/>
      <c r="B84" s="9" t="n"/>
      <c r="C84" s="9" t="n"/>
      <c r="D84" s="9" t="n"/>
      <c r="E84" s="11" t="n"/>
      <c r="F84" s="13" t="n"/>
      <c r="G84" s="11" t="n"/>
      <c r="H84" s="13" t="n"/>
      <c r="I84" s="14">
        <f>IF(A84="","",IF(F84&lt;&gt;"",F84,IFERROR(INDEX(Products!$C:$C,MATCH(A84,Products!$A:$A,0)),"")))</f>
        <v/>
      </c>
      <c r="J84" s="14">
        <f>IF(OR(I84="",H84=""),"",I84-H84)</f>
        <v/>
      </c>
      <c r="K84" s="12">
        <f>IF(A84="","",IF(ISNA(MATCH(A84,Products!$A:$A,0)),"NAME NOT IN PRODUCTS",IF(D84="","ADD STORE SKU",IF(LEFT(D84,2)&lt;&gt;"v-","CHECK: STORE SKU STARTS WITH v-",IF(COUNTIF($D:$D,D84)&gt;1,"DUPLICATE STORE SKU",IF(COUNTIFS($A:$A,A84,$B:$B,B84,$C:$C,C84)&gt;1,"DUPLICATE COLOUR + SIZE","OK"))))))</f>
        <v/>
      </c>
    </row>
    <row r="85">
      <c r="A85" s="9" t="n"/>
      <c r="B85" s="9" t="n"/>
      <c r="C85" s="9" t="n"/>
      <c r="D85" s="9" t="n"/>
      <c r="E85" s="11" t="n"/>
      <c r="F85" s="13" t="n"/>
      <c r="G85" s="11" t="n"/>
      <c r="H85" s="13" t="n"/>
      <c r="I85" s="14">
        <f>IF(A85="","",IF(F85&lt;&gt;"",F85,IFERROR(INDEX(Products!$C:$C,MATCH(A85,Products!$A:$A,0)),"")))</f>
        <v/>
      </c>
      <c r="J85" s="14">
        <f>IF(OR(I85="",H85=""),"",I85-H85)</f>
        <v/>
      </c>
      <c r="K85" s="12">
        <f>IF(A85="","",IF(ISNA(MATCH(A85,Products!$A:$A,0)),"NAME NOT IN PRODUCTS",IF(D85="","ADD STORE SKU",IF(LEFT(D85,2)&lt;&gt;"v-","CHECK: STORE SKU STARTS WITH v-",IF(COUNTIF($D:$D,D85)&gt;1,"DUPLICATE STORE SKU",IF(COUNTIFS($A:$A,A85,$B:$B,B85,$C:$C,C85)&gt;1,"DUPLICATE COLOUR + SIZE","OK"))))))</f>
        <v/>
      </c>
    </row>
    <row r="86">
      <c r="A86" s="9" t="n"/>
      <c r="B86" s="9" t="n"/>
      <c r="C86" s="9" t="n"/>
      <c r="D86" s="9" t="n"/>
      <c r="E86" s="11" t="n"/>
      <c r="F86" s="13" t="n"/>
      <c r="G86" s="11" t="n"/>
      <c r="H86" s="13" t="n"/>
      <c r="I86" s="14">
        <f>IF(A86="","",IF(F86&lt;&gt;"",F86,IFERROR(INDEX(Products!$C:$C,MATCH(A86,Products!$A:$A,0)),"")))</f>
        <v/>
      </c>
      <c r="J86" s="14">
        <f>IF(OR(I86="",H86=""),"",I86-H86)</f>
        <v/>
      </c>
      <c r="K86" s="12">
        <f>IF(A86="","",IF(ISNA(MATCH(A86,Products!$A:$A,0)),"NAME NOT IN PRODUCTS",IF(D86="","ADD STORE SKU",IF(LEFT(D86,2)&lt;&gt;"v-","CHECK: STORE SKU STARTS WITH v-",IF(COUNTIF($D:$D,D86)&gt;1,"DUPLICATE STORE SKU",IF(COUNTIFS($A:$A,A86,$B:$B,B86,$C:$C,C86)&gt;1,"DUPLICATE COLOUR + SIZE","OK"))))))</f>
        <v/>
      </c>
    </row>
    <row r="87">
      <c r="A87" s="9" t="n"/>
      <c r="B87" s="9" t="n"/>
      <c r="C87" s="9" t="n"/>
      <c r="D87" s="9" t="n"/>
      <c r="E87" s="11" t="n"/>
      <c r="F87" s="13" t="n"/>
      <c r="G87" s="11" t="n"/>
      <c r="H87" s="13" t="n"/>
      <c r="I87" s="14">
        <f>IF(A87="","",IF(F87&lt;&gt;"",F87,IFERROR(INDEX(Products!$C:$C,MATCH(A87,Products!$A:$A,0)),"")))</f>
        <v/>
      </c>
      <c r="J87" s="14">
        <f>IF(OR(I87="",H87=""),"",I87-H87)</f>
        <v/>
      </c>
      <c r="K87" s="12">
        <f>IF(A87="","",IF(ISNA(MATCH(A87,Products!$A:$A,0)),"NAME NOT IN PRODUCTS",IF(D87="","ADD STORE SKU",IF(LEFT(D87,2)&lt;&gt;"v-","CHECK: STORE SKU STARTS WITH v-",IF(COUNTIF($D:$D,D87)&gt;1,"DUPLICATE STORE SKU",IF(COUNTIFS($A:$A,A87,$B:$B,B87,$C:$C,C87)&gt;1,"DUPLICATE COLOUR + SIZE","OK"))))))</f>
        <v/>
      </c>
    </row>
    <row r="88">
      <c r="A88" s="9" t="n"/>
      <c r="B88" s="9" t="n"/>
      <c r="C88" s="9" t="n"/>
      <c r="D88" s="9" t="n"/>
      <c r="E88" s="11" t="n"/>
      <c r="F88" s="13" t="n"/>
      <c r="G88" s="11" t="n"/>
      <c r="H88" s="13" t="n"/>
      <c r="I88" s="14">
        <f>IF(A88="","",IF(F88&lt;&gt;"",F88,IFERROR(INDEX(Products!$C:$C,MATCH(A88,Products!$A:$A,0)),"")))</f>
        <v/>
      </c>
      <c r="J88" s="14">
        <f>IF(OR(I88="",H88=""),"",I88-H88)</f>
        <v/>
      </c>
      <c r="K88" s="12">
        <f>IF(A88="","",IF(ISNA(MATCH(A88,Products!$A:$A,0)),"NAME NOT IN PRODUCTS",IF(D88="","ADD STORE SKU",IF(LEFT(D88,2)&lt;&gt;"v-","CHECK: STORE SKU STARTS WITH v-",IF(COUNTIF($D:$D,D88)&gt;1,"DUPLICATE STORE SKU",IF(COUNTIFS($A:$A,A88,$B:$B,B88,$C:$C,C88)&gt;1,"DUPLICATE COLOUR + SIZE","OK"))))))</f>
        <v/>
      </c>
    </row>
    <row r="89">
      <c r="A89" s="9" t="n"/>
      <c r="B89" s="9" t="n"/>
      <c r="C89" s="9" t="n"/>
      <c r="D89" s="9" t="n"/>
      <c r="E89" s="11" t="n"/>
      <c r="F89" s="13" t="n"/>
      <c r="G89" s="11" t="n"/>
      <c r="H89" s="13" t="n"/>
      <c r="I89" s="14">
        <f>IF(A89="","",IF(F89&lt;&gt;"",F89,IFERROR(INDEX(Products!$C:$C,MATCH(A89,Products!$A:$A,0)),"")))</f>
        <v/>
      </c>
      <c r="J89" s="14">
        <f>IF(OR(I89="",H89=""),"",I89-H89)</f>
        <v/>
      </c>
      <c r="K89" s="12">
        <f>IF(A89="","",IF(ISNA(MATCH(A89,Products!$A:$A,0)),"NAME NOT IN PRODUCTS",IF(D89="","ADD STORE SKU",IF(LEFT(D89,2)&lt;&gt;"v-","CHECK: STORE SKU STARTS WITH v-",IF(COUNTIF($D:$D,D89)&gt;1,"DUPLICATE STORE SKU",IF(COUNTIFS($A:$A,A89,$B:$B,B89,$C:$C,C89)&gt;1,"DUPLICATE COLOUR + SIZE","OK"))))))</f>
        <v/>
      </c>
    </row>
    <row r="90">
      <c r="A90" s="9" t="n"/>
      <c r="B90" s="9" t="n"/>
      <c r="C90" s="9" t="n"/>
      <c r="D90" s="9" t="n"/>
      <c r="E90" s="11" t="n"/>
      <c r="F90" s="13" t="n"/>
      <c r="G90" s="11" t="n"/>
      <c r="H90" s="13" t="n"/>
      <c r="I90" s="14">
        <f>IF(A90="","",IF(F90&lt;&gt;"",F90,IFERROR(INDEX(Products!$C:$C,MATCH(A90,Products!$A:$A,0)),"")))</f>
        <v/>
      </c>
      <c r="J90" s="14">
        <f>IF(OR(I90="",H90=""),"",I90-H90)</f>
        <v/>
      </c>
      <c r="K90" s="12">
        <f>IF(A90="","",IF(ISNA(MATCH(A90,Products!$A:$A,0)),"NAME NOT IN PRODUCTS",IF(D90="","ADD STORE SKU",IF(LEFT(D90,2)&lt;&gt;"v-","CHECK: STORE SKU STARTS WITH v-",IF(COUNTIF($D:$D,D90)&gt;1,"DUPLICATE STORE SKU",IF(COUNTIFS($A:$A,A90,$B:$B,B90,$C:$C,C90)&gt;1,"DUPLICATE COLOUR + SIZE","OK"))))))</f>
        <v/>
      </c>
    </row>
    <row r="91">
      <c r="A91" s="9" t="n"/>
      <c r="B91" s="9" t="n"/>
      <c r="C91" s="9" t="n"/>
      <c r="D91" s="9" t="n"/>
      <c r="E91" s="11" t="n"/>
      <c r="F91" s="13" t="n"/>
      <c r="G91" s="11" t="n"/>
      <c r="H91" s="13" t="n"/>
      <c r="I91" s="14">
        <f>IF(A91="","",IF(F91&lt;&gt;"",F91,IFERROR(INDEX(Products!$C:$C,MATCH(A91,Products!$A:$A,0)),"")))</f>
        <v/>
      </c>
      <c r="J91" s="14">
        <f>IF(OR(I91="",H91=""),"",I91-H91)</f>
        <v/>
      </c>
      <c r="K91" s="12">
        <f>IF(A91="","",IF(ISNA(MATCH(A91,Products!$A:$A,0)),"NAME NOT IN PRODUCTS",IF(D91="","ADD STORE SKU",IF(LEFT(D91,2)&lt;&gt;"v-","CHECK: STORE SKU STARTS WITH v-",IF(COUNTIF($D:$D,D91)&gt;1,"DUPLICATE STORE SKU",IF(COUNTIFS($A:$A,A91,$B:$B,B91,$C:$C,C91)&gt;1,"DUPLICATE COLOUR + SIZE","OK"))))))</f>
        <v/>
      </c>
    </row>
    <row r="92">
      <c r="A92" s="9" t="n"/>
      <c r="B92" s="9" t="n"/>
      <c r="C92" s="9" t="n"/>
      <c r="D92" s="9" t="n"/>
      <c r="E92" s="11" t="n"/>
      <c r="F92" s="13" t="n"/>
      <c r="G92" s="11" t="n"/>
      <c r="H92" s="13" t="n"/>
      <c r="I92" s="14">
        <f>IF(A92="","",IF(F92&lt;&gt;"",F92,IFERROR(INDEX(Products!$C:$C,MATCH(A92,Products!$A:$A,0)),"")))</f>
        <v/>
      </c>
      <c r="J92" s="14">
        <f>IF(OR(I92="",H92=""),"",I92-H92)</f>
        <v/>
      </c>
      <c r="K92" s="12">
        <f>IF(A92="","",IF(ISNA(MATCH(A92,Products!$A:$A,0)),"NAME NOT IN PRODUCTS",IF(D92="","ADD STORE SKU",IF(LEFT(D92,2)&lt;&gt;"v-","CHECK: STORE SKU STARTS WITH v-",IF(COUNTIF($D:$D,D92)&gt;1,"DUPLICATE STORE SKU",IF(COUNTIFS($A:$A,A92,$B:$B,B92,$C:$C,C92)&gt;1,"DUPLICATE COLOUR + SIZE","OK"))))))</f>
        <v/>
      </c>
    </row>
    <row r="93">
      <c r="A93" s="9" t="n"/>
      <c r="B93" s="9" t="n"/>
      <c r="C93" s="9" t="n"/>
      <c r="D93" s="9" t="n"/>
      <c r="E93" s="11" t="n"/>
      <c r="F93" s="13" t="n"/>
      <c r="G93" s="11" t="n"/>
      <c r="H93" s="13" t="n"/>
      <c r="I93" s="14">
        <f>IF(A93="","",IF(F93&lt;&gt;"",F93,IFERROR(INDEX(Products!$C:$C,MATCH(A93,Products!$A:$A,0)),"")))</f>
        <v/>
      </c>
      <c r="J93" s="14">
        <f>IF(OR(I93="",H93=""),"",I93-H93)</f>
        <v/>
      </c>
      <c r="K93" s="12">
        <f>IF(A93="","",IF(ISNA(MATCH(A93,Products!$A:$A,0)),"NAME NOT IN PRODUCTS",IF(D93="","ADD STORE SKU",IF(LEFT(D93,2)&lt;&gt;"v-","CHECK: STORE SKU STARTS WITH v-",IF(COUNTIF($D:$D,D93)&gt;1,"DUPLICATE STORE SKU",IF(COUNTIFS($A:$A,A93,$B:$B,B93,$C:$C,C93)&gt;1,"DUPLICATE COLOUR + SIZE","OK"))))))</f>
        <v/>
      </c>
    </row>
    <row r="94">
      <c r="A94" s="9" t="n"/>
      <c r="B94" s="9" t="n"/>
      <c r="C94" s="9" t="n"/>
      <c r="D94" s="9" t="n"/>
      <c r="E94" s="11" t="n"/>
      <c r="F94" s="13" t="n"/>
      <c r="G94" s="11" t="n"/>
      <c r="H94" s="13" t="n"/>
      <c r="I94" s="14">
        <f>IF(A94="","",IF(F94&lt;&gt;"",F94,IFERROR(INDEX(Products!$C:$C,MATCH(A94,Products!$A:$A,0)),"")))</f>
        <v/>
      </c>
      <c r="J94" s="14">
        <f>IF(OR(I94="",H94=""),"",I94-H94)</f>
        <v/>
      </c>
      <c r="K94" s="12">
        <f>IF(A94="","",IF(ISNA(MATCH(A94,Products!$A:$A,0)),"NAME NOT IN PRODUCTS",IF(D94="","ADD STORE SKU",IF(LEFT(D94,2)&lt;&gt;"v-","CHECK: STORE SKU STARTS WITH v-",IF(COUNTIF($D:$D,D94)&gt;1,"DUPLICATE STORE SKU",IF(COUNTIFS($A:$A,A94,$B:$B,B94,$C:$C,C94)&gt;1,"DUPLICATE COLOUR + SIZE","OK"))))))</f>
        <v/>
      </c>
    </row>
    <row r="95">
      <c r="A95" s="9" t="n"/>
      <c r="B95" s="9" t="n"/>
      <c r="C95" s="9" t="n"/>
      <c r="D95" s="9" t="n"/>
      <c r="E95" s="11" t="n"/>
      <c r="F95" s="13" t="n"/>
      <c r="G95" s="11" t="n"/>
      <c r="H95" s="13" t="n"/>
      <c r="I95" s="14">
        <f>IF(A95="","",IF(F95&lt;&gt;"",F95,IFERROR(INDEX(Products!$C:$C,MATCH(A95,Products!$A:$A,0)),"")))</f>
        <v/>
      </c>
      <c r="J95" s="14">
        <f>IF(OR(I95="",H95=""),"",I95-H95)</f>
        <v/>
      </c>
      <c r="K95" s="12">
        <f>IF(A95="","",IF(ISNA(MATCH(A95,Products!$A:$A,0)),"NAME NOT IN PRODUCTS",IF(D95="","ADD STORE SKU",IF(LEFT(D95,2)&lt;&gt;"v-","CHECK: STORE SKU STARTS WITH v-",IF(COUNTIF($D:$D,D95)&gt;1,"DUPLICATE STORE SKU",IF(COUNTIFS($A:$A,A95,$B:$B,B95,$C:$C,C95)&gt;1,"DUPLICATE COLOUR + SIZE","OK"))))))</f>
        <v/>
      </c>
    </row>
    <row r="96">
      <c r="A96" s="9" t="n"/>
      <c r="B96" s="9" t="n"/>
      <c r="C96" s="9" t="n"/>
      <c r="D96" s="9" t="n"/>
      <c r="E96" s="11" t="n"/>
      <c r="F96" s="13" t="n"/>
      <c r="G96" s="11" t="n"/>
      <c r="H96" s="13" t="n"/>
      <c r="I96" s="14">
        <f>IF(A96="","",IF(F96&lt;&gt;"",F96,IFERROR(INDEX(Products!$C:$C,MATCH(A96,Products!$A:$A,0)),"")))</f>
        <v/>
      </c>
      <c r="J96" s="14">
        <f>IF(OR(I96="",H96=""),"",I96-H96)</f>
        <v/>
      </c>
      <c r="K96" s="12">
        <f>IF(A96="","",IF(ISNA(MATCH(A96,Products!$A:$A,0)),"NAME NOT IN PRODUCTS",IF(D96="","ADD STORE SKU",IF(LEFT(D96,2)&lt;&gt;"v-","CHECK: STORE SKU STARTS WITH v-",IF(COUNTIF($D:$D,D96)&gt;1,"DUPLICATE STORE SKU",IF(COUNTIFS($A:$A,A96,$B:$B,B96,$C:$C,C96)&gt;1,"DUPLICATE COLOUR + SIZE","OK"))))))</f>
        <v/>
      </c>
    </row>
    <row r="97">
      <c r="A97" s="9" t="n"/>
      <c r="B97" s="9" t="n"/>
      <c r="C97" s="9" t="n"/>
      <c r="D97" s="9" t="n"/>
      <c r="E97" s="11" t="n"/>
      <c r="F97" s="13" t="n"/>
      <c r="G97" s="11" t="n"/>
      <c r="H97" s="13" t="n"/>
      <c r="I97" s="14">
        <f>IF(A97="","",IF(F97&lt;&gt;"",F97,IFERROR(INDEX(Products!$C:$C,MATCH(A97,Products!$A:$A,0)),"")))</f>
        <v/>
      </c>
      <c r="J97" s="14">
        <f>IF(OR(I97="",H97=""),"",I97-H97)</f>
        <v/>
      </c>
      <c r="K97" s="12">
        <f>IF(A97="","",IF(ISNA(MATCH(A97,Products!$A:$A,0)),"NAME NOT IN PRODUCTS",IF(D97="","ADD STORE SKU",IF(LEFT(D97,2)&lt;&gt;"v-","CHECK: STORE SKU STARTS WITH v-",IF(COUNTIF($D:$D,D97)&gt;1,"DUPLICATE STORE SKU",IF(COUNTIFS($A:$A,A97,$B:$B,B97,$C:$C,C97)&gt;1,"DUPLICATE COLOUR + SIZE","OK"))))))</f>
        <v/>
      </c>
    </row>
    <row r="98">
      <c r="A98" s="9" t="n"/>
      <c r="B98" s="9" t="n"/>
      <c r="C98" s="9" t="n"/>
      <c r="D98" s="9" t="n"/>
      <c r="E98" s="11" t="n"/>
      <c r="F98" s="13" t="n"/>
      <c r="G98" s="11" t="n"/>
      <c r="H98" s="13" t="n"/>
      <c r="I98" s="14">
        <f>IF(A98="","",IF(F98&lt;&gt;"",F98,IFERROR(INDEX(Products!$C:$C,MATCH(A98,Products!$A:$A,0)),"")))</f>
        <v/>
      </c>
      <c r="J98" s="14">
        <f>IF(OR(I98="",H98=""),"",I98-H98)</f>
        <v/>
      </c>
      <c r="K98" s="12">
        <f>IF(A98="","",IF(ISNA(MATCH(A98,Products!$A:$A,0)),"NAME NOT IN PRODUCTS",IF(D98="","ADD STORE SKU",IF(LEFT(D98,2)&lt;&gt;"v-","CHECK: STORE SKU STARTS WITH v-",IF(COUNTIF($D:$D,D98)&gt;1,"DUPLICATE STORE SKU",IF(COUNTIFS($A:$A,A98,$B:$B,B98,$C:$C,C98)&gt;1,"DUPLICATE COLOUR + SIZE","OK"))))))</f>
        <v/>
      </c>
    </row>
    <row r="99">
      <c r="A99" s="9" t="n"/>
      <c r="B99" s="9" t="n"/>
      <c r="C99" s="9" t="n"/>
      <c r="D99" s="9" t="n"/>
      <c r="E99" s="11" t="n"/>
      <c r="F99" s="13" t="n"/>
      <c r="G99" s="11" t="n"/>
      <c r="H99" s="13" t="n"/>
      <c r="I99" s="14">
        <f>IF(A99="","",IF(F99&lt;&gt;"",F99,IFERROR(INDEX(Products!$C:$C,MATCH(A99,Products!$A:$A,0)),"")))</f>
        <v/>
      </c>
      <c r="J99" s="14">
        <f>IF(OR(I99="",H99=""),"",I99-H99)</f>
        <v/>
      </c>
      <c r="K99" s="12">
        <f>IF(A99="","",IF(ISNA(MATCH(A99,Products!$A:$A,0)),"NAME NOT IN PRODUCTS",IF(D99="","ADD STORE SKU",IF(LEFT(D99,2)&lt;&gt;"v-","CHECK: STORE SKU STARTS WITH v-",IF(COUNTIF($D:$D,D99)&gt;1,"DUPLICATE STORE SKU",IF(COUNTIFS($A:$A,A99,$B:$B,B99,$C:$C,C99)&gt;1,"DUPLICATE COLOUR + SIZE","OK"))))))</f>
        <v/>
      </c>
    </row>
    <row r="100">
      <c r="A100" s="9" t="n"/>
      <c r="B100" s="9" t="n"/>
      <c r="C100" s="9" t="n"/>
      <c r="D100" s="9" t="n"/>
      <c r="E100" s="11" t="n"/>
      <c r="F100" s="13" t="n"/>
      <c r="G100" s="11" t="n"/>
      <c r="H100" s="13" t="n"/>
      <c r="I100" s="14">
        <f>IF(A100="","",IF(F100&lt;&gt;"",F100,IFERROR(INDEX(Products!$C:$C,MATCH(A100,Products!$A:$A,0)),"")))</f>
        <v/>
      </c>
      <c r="J100" s="14">
        <f>IF(OR(I100="",H100=""),"",I100-H100)</f>
        <v/>
      </c>
      <c r="K100" s="12">
        <f>IF(A100="","",IF(ISNA(MATCH(A100,Products!$A:$A,0)),"NAME NOT IN PRODUCTS",IF(D100="","ADD STORE SKU",IF(LEFT(D100,2)&lt;&gt;"v-","CHECK: STORE SKU STARTS WITH v-",IF(COUNTIF($D:$D,D100)&gt;1,"DUPLICATE STORE SKU",IF(COUNTIFS($A:$A,A100,$B:$B,B100,$C:$C,C100)&gt;1,"DUPLICATE COLOUR + SIZE","OK"))))))</f>
        <v/>
      </c>
    </row>
    <row r="101">
      <c r="A101" s="9" t="n"/>
      <c r="B101" s="9" t="n"/>
      <c r="C101" s="9" t="n"/>
      <c r="D101" s="9" t="n"/>
      <c r="E101" s="11" t="n"/>
      <c r="F101" s="13" t="n"/>
      <c r="G101" s="11" t="n"/>
      <c r="H101" s="13" t="n"/>
      <c r="I101" s="14">
        <f>IF(A101="","",IF(F101&lt;&gt;"",F101,IFERROR(INDEX(Products!$C:$C,MATCH(A101,Products!$A:$A,0)),"")))</f>
        <v/>
      </c>
      <c r="J101" s="14">
        <f>IF(OR(I101="",H101=""),"",I101-H101)</f>
        <v/>
      </c>
      <c r="K101" s="12">
        <f>IF(A101="","",IF(ISNA(MATCH(A101,Products!$A:$A,0)),"NAME NOT IN PRODUCTS",IF(D101="","ADD STORE SKU",IF(LEFT(D101,2)&lt;&gt;"v-","CHECK: STORE SKU STARTS WITH v-",IF(COUNTIF($D:$D,D101)&gt;1,"DUPLICATE STORE SKU",IF(COUNTIFS($A:$A,A101,$B:$B,B101,$C:$C,C101)&gt;1,"DUPLICATE COLOUR + SIZE","OK"))))))</f>
        <v/>
      </c>
    </row>
    <row r="102">
      <c r="A102" s="9" t="n"/>
      <c r="B102" s="9" t="n"/>
      <c r="C102" s="9" t="n"/>
      <c r="D102" s="9" t="n"/>
      <c r="E102" s="11" t="n"/>
      <c r="F102" s="13" t="n"/>
      <c r="G102" s="11" t="n"/>
      <c r="H102" s="13" t="n"/>
      <c r="I102" s="14">
        <f>IF(A102="","",IF(F102&lt;&gt;"",F102,IFERROR(INDEX(Products!$C:$C,MATCH(A102,Products!$A:$A,0)),"")))</f>
        <v/>
      </c>
      <c r="J102" s="14">
        <f>IF(OR(I102="",H102=""),"",I102-H102)</f>
        <v/>
      </c>
      <c r="K102" s="12">
        <f>IF(A102="","",IF(ISNA(MATCH(A102,Products!$A:$A,0)),"NAME NOT IN PRODUCTS",IF(D102="","ADD STORE SKU",IF(LEFT(D102,2)&lt;&gt;"v-","CHECK: STORE SKU STARTS WITH v-",IF(COUNTIF($D:$D,D102)&gt;1,"DUPLICATE STORE SKU",IF(COUNTIFS($A:$A,A102,$B:$B,B102,$C:$C,C102)&gt;1,"DUPLICATE COLOUR + SIZE","OK"))))))</f>
        <v/>
      </c>
    </row>
    <row r="103">
      <c r="A103" s="9" t="n"/>
      <c r="B103" s="9" t="n"/>
      <c r="C103" s="9" t="n"/>
      <c r="D103" s="9" t="n"/>
      <c r="E103" s="11" t="n"/>
      <c r="F103" s="13" t="n"/>
      <c r="G103" s="11" t="n"/>
      <c r="H103" s="13" t="n"/>
      <c r="I103" s="14">
        <f>IF(A103="","",IF(F103&lt;&gt;"",F103,IFERROR(INDEX(Products!$C:$C,MATCH(A103,Products!$A:$A,0)),"")))</f>
        <v/>
      </c>
      <c r="J103" s="14">
        <f>IF(OR(I103="",H103=""),"",I103-H103)</f>
        <v/>
      </c>
      <c r="K103" s="12">
        <f>IF(A103="","",IF(ISNA(MATCH(A103,Products!$A:$A,0)),"NAME NOT IN PRODUCTS",IF(D103="","ADD STORE SKU",IF(LEFT(D103,2)&lt;&gt;"v-","CHECK: STORE SKU STARTS WITH v-",IF(COUNTIF($D:$D,D103)&gt;1,"DUPLICATE STORE SKU",IF(COUNTIFS($A:$A,A103,$B:$B,B103,$C:$C,C103)&gt;1,"DUPLICATE COLOUR + SIZE","OK"))))))</f>
        <v/>
      </c>
    </row>
    <row r="104">
      <c r="A104" s="9" t="n"/>
      <c r="B104" s="9" t="n"/>
      <c r="C104" s="9" t="n"/>
      <c r="D104" s="9" t="n"/>
      <c r="E104" s="11" t="n"/>
      <c r="F104" s="13" t="n"/>
      <c r="G104" s="11" t="n"/>
      <c r="H104" s="13" t="n"/>
      <c r="I104" s="14">
        <f>IF(A104="","",IF(F104&lt;&gt;"",F104,IFERROR(INDEX(Products!$C:$C,MATCH(A104,Products!$A:$A,0)),"")))</f>
        <v/>
      </c>
      <c r="J104" s="14">
        <f>IF(OR(I104="",H104=""),"",I104-H104)</f>
        <v/>
      </c>
      <c r="K104" s="12">
        <f>IF(A104="","",IF(ISNA(MATCH(A104,Products!$A:$A,0)),"NAME NOT IN PRODUCTS",IF(D104="","ADD STORE SKU",IF(LEFT(D104,2)&lt;&gt;"v-","CHECK: STORE SKU STARTS WITH v-",IF(COUNTIF($D:$D,D104)&gt;1,"DUPLICATE STORE SKU",IF(COUNTIFS($A:$A,A104,$B:$B,B104,$C:$C,C104)&gt;1,"DUPLICATE COLOUR + SIZE","OK"))))))</f>
        <v/>
      </c>
    </row>
    <row r="105">
      <c r="A105" s="9" t="n"/>
      <c r="B105" s="9" t="n"/>
      <c r="C105" s="9" t="n"/>
      <c r="D105" s="9" t="n"/>
      <c r="E105" s="11" t="n"/>
      <c r="F105" s="13" t="n"/>
      <c r="G105" s="11" t="n"/>
      <c r="H105" s="13" t="n"/>
      <c r="I105" s="14">
        <f>IF(A105="","",IF(F105&lt;&gt;"",F105,IFERROR(INDEX(Products!$C:$C,MATCH(A105,Products!$A:$A,0)),"")))</f>
        <v/>
      </c>
      <c r="J105" s="14">
        <f>IF(OR(I105="",H105=""),"",I105-H105)</f>
        <v/>
      </c>
      <c r="K105" s="12">
        <f>IF(A105="","",IF(ISNA(MATCH(A105,Products!$A:$A,0)),"NAME NOT IN PRODUCTS",IF(D105="","ADD STORE SKU",IF(LEFT(D105,2)&lt;&gt;"v-","CHECK: STORE SKU STARTS WITH v-",IF(COUNTIF($D:$D,D105)&gt;1,"DUPLICATE STORE SKU",IF(COUNTIFS($A:$A,A105,$B:$B,B105,$C:$C,C105)&gt;1,"DUPLICATE COLOUR + SIZE","OK"))))))</f>
        <v/>
      </c>
    </row>
    <row r="106">
      <c r="A106" s="9" t="n"/>
      <c r="B106" s="9" t="n"/>
      <c r="C106" s="9" t="n"/>
      <c r="D106" s="9" t="n"/>
      <c r="E106" s="11" t="n"/>
      <c r="F106" s="13" t="n"/>
      <c r="G106" s="11" t="n"/>
      <c r="H106" s="13" t="n"/>
      <c r="I106" s="14">
        <f>IF(A106="","",IF(F106&lt;&gt;"",F106,IFERROR(INDEX(Products!$C:$C,MATCH(A106,Products!$A:$A,0)),"")))</f>
        <v/>
      </c>
      <c r="J106" s="14">
        <f>IF(OR(I106="",H106=""),"",I106-H106)</f>
        <v/>
      </c>
      <c r="K106" s="12">
        <f>IF(A106="","",IF(ISNA(MATCH(A106,Products!$A:$A,0)),"NAME NOT IN PRODUCTS",IF(D106="","ADD STORE SKU",IF(LEFT(D106,2)&lt;&gt;"v-","CHECK: STORE SKU STARTS WITH v-",IF(COUNTIF($D:$D,D106)&gt;1,"DUPLICATE STORE SKU",IF(COUNTIFS($A:$A,A106,$B:$B,B106,$C:$C,C106)&gt;1,"DUPLICATE COLOUR + SIZE","OK"))))))</f>
        <v/>
      </c>
    </row>
    <row r="107">
      <c r="A107" s="9" t="n"/>
      <c r="B107" s="9" t="n"/>
      <c r="C107" s="9" t="n"/>
      <c r="D107" s="9" t="n"/>
      <c r="E107" s="11" t="n"/>
      <c r="F107" s="13" t="n"/>
      <c r="G107" s="11" t="n"/>
      <c r="H107" s="13" t="n"/>
      <c r="I107" s="14">
        <f>IF(A107="","",IF(F107&lt;&gt;"",F107,IFERROR(INDEX(Products!$C:$C,MATCH(A107,Products!$A:$A,0)),"")))</f>
        <v/>
      </c>
      <c r="J107" s="14">
        <f>IF(OR(I107="",H107=""),"",I107-H107)</f>
        <v/>
      </c>
      <c r="K107" s="12">
        <f>IF(A107="","",IF(ISNA(MATCH(A107,Products!$A:$A,0)),"NAME NOT IN PRODUCTS",IF(D107="","ADD STORE SKU",IF(LEFT(D107,2)&lt;&gt;"v-","CHECK: STORE SKU STARTS WITH v-",IF(COUNTIF($D:$D,D107)&gt;1,"DUPLICATE STORE SKU",IF(COUNTIFS($A:$A,A107,$B:$B,B107,$C:$C,C107)&gt;1,"DUPLICATE COLOUR + SIZE","OK"))))))</f>
        <v/>
      </c>
    </row>
    <row r="108">
      <c r="A108" s="9" t="n"/>
      <c r="B108" s="9" t="n"/>
      <c r="C108" s="9" t="n"/>
      <c r="D108" s="9" t="n"/>
      <c r="E108" s="11" t="n"/>
      <c r="F108" s="13" t="n"/>
      <c r="G108" s="11" t="n"/>
      <c r="H108" s="13" t="n"/>
      <c r="I108" s="14">
        <f>IF(A108="","",IF(F108&lt;&gt;"",F108,IFERROR(INDEX(Products!$C:$C,MATCH(A108,Products!$A:$A,0)),"")))</f>
        <v/>
      </c>
      <c r="J108" s="14">
        <f>IF(OR(I108="",H108=""),"",I108-H108)</f>
        <v/>
      </c>
      <c r="K108" s="12">
        <f>IF(A108="","",IF(ISNA(MATCH(A108,Products!$A:$A,0)),"NAME NOT IN PRODUCTS",IF(D108="","ADD STORE SKU",IF(LEFT(D108,2)&lt;&gt;"v-","CHECK: STORE SKU STARTS WITH v-",IF(COUNTIF($D:$D,D108)&gt;1,"DUPLICATE STORE SKU",IF(COUNTIFS($A:$A,A108,$B:$B,B108,$C:$C,C108)&gt;1,"DUPLICATE COLOUR + SIZE","OK"))))))</f>
        <v/>
      </c>
    </row>
    <row r="109">
      <c r="A109" s="9" t="n"/>
      <c r="B109" s="9" t="n"/>
      <c r="C109" s="9" t="n"/>
      <c r="D109" s="9" t="n"/>
      <c r="E109" s="11" t="n"/>
      <c r="F109" s="13" t="n"/>
      <c r="G109" s="11" t="n"/>
      <c r="H109" s="13" t="n"/>
      <c r="I109" s="14">
        <f>IF(A109="","",IF(F109&lt;&gt;"",F109,IFERROR(INDEX(Products!$C:$C,MATCH(A109,Products!$A:$A,0)),"")))</f>
        <v/>
      </c>
      <c r="J109" s="14">
        <f>IF(OR(I109="",H109=""),"",I109-H109)</f>
        <v/>
      </c>
      <c r="K109" s="12">
        <f>IF(A109="","",IF(ISNA(MATCH(A109,Products!$A:$A,0)),"NAME NOT IN PRODUCTS",IF(D109="","ADD STORE SKU",IF(LEFT(D109,2)&lt;&gt;"v-","CHECK: STORE SKU STARTS WITH v-",IF(COUNTIF($D:$D,D109)&gt;1,"DUPLICATE STORE SKU",IF(COUNTIFS($A:$A,A109,$B:$B,B109,$C:$C,C109)&gt;1,"DUPLICATE COLOUR + SIZE","OK"))))))</f>
        <v/>
      </c>
    </row>
    <row r="110">
      <c r="A110" s="9" t="n"/>
      <c r="B110" s="9" t="n"/>
      <c r="C110" s="9" t="n"/>
      <c r="D110" s="9" t="n"/>
      <c r="E110" s="11" t="n"/>
      <c r="F110" s="13" t="n"/>
      <c r="G110" s="11" t="n"/>
      <c r="H110" s="13" t="n"/>
      <c r="I110" s="14">
        <f>IF(A110="","",IF(F110&lt;&gt;"",F110,IFERROR(INDEX(Products!$C:$C,MATCH(A110,Products!$A:$A,0)),"")))</f>
        <v/>
      </c>
      <c r="J110" s="14">
        <f>IF(OR(I110="",H110=""),"",I110-H110)</f>
        <v/>
      </c>
      <c r="K110" s="12">
        <f>IF(A110="","",IF(ISNA(MATCH(A110,Products!$A:$A,0)),"NAME NOT IN PRODUCTS",IF(D110="","ADD STORE SKU",IF(LEFT(D110,2)&lt;&gt;"v-","CHECK: STORE SKU STARTS WITH v-",IF(COUNTIF($D:$D,D110)&gt;1,"DUPLICATE STORE SKU",IF(COUNTIFS($A:$A,A110,$B:$B,B110,$C:$C,C110)&gt;1,"DUPLICATE COLOUR + SIZE","OK"))))))</f>
        <v/>
      </c>
    </row>
    <row r="111">
      <c r="A111" s="9" t="n"/>
      <c r="B111" s="9" t="n"/>
      <c r="C111" s="9" t="n"/>
      <c r="D111" s="9" t="n"/>
      <c r="E111" s="11" t="n"/>
      <c r="F111" s="13" t="n"/>
      <c r="G111" s="11" t="n"/>
      <c r="H111" s="13" t="n"/>
      <c r="I111" s="14">
        <f>IF(A111="","",IF(F111&lt;&gt;"",F111,IFERROR(INDEX(Products!$C:$C,MATCH(A111,Products!$A:$A,0)),"")))</f>
        <v/>
      </c>
      <c r="J111" s="14">
        <f>IF(OR(I111="",H111=""),"",I111-H111)</f>
        <v/>
      </c>
      <c r="K111" s="12">
        <f>IF(A111="","",IF(ISNA(MATCH(A111,Products!$A:$A,0)),"NAME NOT IN PRODUCTS",IF(D111="","ADD STORE SKU",IF(LEFT(D111,2)&lt;&gt;"v-","CHECK: STORE SKU STARTS WITH v-",IF(COUNTIF($D:$D,D111)&gt;1,"DUPLICATE STORE SKU",IF(COUNTIFS($A:$A,A111,$B:$B,B111,$C:$C,C111)&gt;1,"DUPLICATE COLOUR + SIZE","OK"))))))</f>
        <v/>
      </c>
    </row>
    <row r="112">
      <c r="A112" s="9" t="n"/>
      <c r="B112" s="9" t="n"/>
      <c r="C112" s="9" t="n"/>
      <c r="D112" s="9" t="n"/>
      <c r="E112" s="11" t="n"/>
      <c r="F112" s="13" t="n"/>
      <c r="G112" s="11" t="n"/>
      <c r="H112" s="13" t="n"/>
      <c r="I112" s="14">
        <f>IF(A112="","",IF(F112&lt;&gt;"",F112,IFERROR(INDEX(Products!$C:$C,MATCH(A112,Products!$A:$A,0)),"")))</f>
        <v/>
      </c>
      <c r="J112" s="14">
        <f>IF(OR(I112="",H112=""),"",I112-H112)</f>
        <v/>
      </c>
      <c r="K112" s="12">
        <f>IF(A112="","",IF(ISNA(MATCH(A112,Products!$A:$A,0)),"NAME NOT IN PRODUCTS",IF(D112="","ADD STORE SKU",IF(LEFT(D112,2)&lt;&gt;"v-","CHECK: STORE SKU STARTS WITH v-",IF(COUNTIF($D:$D,D112)&gt;1,"DUPLICATE STORE SKU",IF(COUNTIFS($A:$A,A112,$B:$B,B112,$C:$C,C112)&gt;1,"DUPLICATE COLOUR + SIZE","OK"))))))</f>
        <v/>
      </c>
    </row>
    <row r="113">
      <c r="A113" s="9" t="n"/>
      <c r="B113" s="9" t="n"/>
      <c r="C113" s="9" t="n"/>
      <c r="D113" s="9" t="n"/>
      <c r="E113" s="11" t="n"/>
      <c r="F113" s="13" t="n"/>
      <c r="G113" s="11" t="n"/>
      <c r="H113" s="13" t="n"/>
      <c r="I113" s="14">
        <f>IF(A113="","",IF(F113&lt;&gt;"",F113,IFERROR(INDEX(Products!$C:$C,MATCH(A113,Products!$A:$A,0)),"")))</f>
        <v/>
      </c>
      <c r="J113" s="14">
        <f>IF(OR(I113="",H113=""),"",I113-H113)</f>
        <v/>
      </c>
      <c r="K113" s="12">
        <f>IF(A113="","",IF(ISNA(MATCH(A113,Products!$A:$A,0)),"NAME NOT IN PRODUCTS",IF(D113="","ADD STORE SKU",IF(LEFT(D113,2)&lt;&gt;"v-","CHECK: STORE SKU STARTS WITH v-",IF(COUNTIF($D:$D,D113)&gt;1,"DUPLICATE STORE SKU",IF(COUNTIFS($A:$A,A113,$B:$B,B113,$C:$C,C113)&gt;1,"DUPLICATE COLOUR + SIZE","OK"))))))</f>
        <v/>
      </c>
    </row>
    <row r="114">
      <c r="A114" s="9" t="n"/>
      <c r="B114" s="9" t="n"/>
      <c r="C114" s="9" t="n"/>
      <c r="D114" s="9" t="n"/>
      <c r="E114" s="11" t="n"/>
      <c r="F114" s="13" t="n"/>
      <c r="G114" s="11" t="n"/>
      <c r="H114" s="13" t="n"/>
      <c r="I114" s="14">
        <f>IF(A114="","",IF(F114&lt;&gt;"",F114,IFERROR(INDEX(Products!$C:$C,MATCH(A114,Products!$A:$A,0)),"")))</f>
        <v/>
      </c>
      <c r="J114" s="14">
        <f>IF(OR(I114="",H114=""),"",I114-H114)</f>
        <v/>
      </c>
      <c r="K114" s="12">
        <f>IF(A114="","",IF(ISNA(MATCH(A114,Products!$A:$A,0)),"NAME NOT IN PRODUCTS",IF(D114="","ADD STORE SKU",IF(LEFT(D114,2)&lt;&gt;"v-","CHECK: STORE SKU STARTS WITH v-",IF(COUNTIF($D:$D,D114)&gt;1,"DUPLICATE STORE SKU",IF(COUNTIFS($A:$A,A114,$B:$B,B114,$C:$C,C114)&gt;1,"DUPLICATE COLOUR + SIZE","OK"))))))</f>
        <v/>
      </c>
    </row>
    <row r="115">
      <c r="A115" s="9" t="n"/>
      <c r="B115" s="9" t="n"/>
      <c r="C115" s="9" t="n"/>
      <c r="D115" s="9" t="n"/>
      <c r="E115" s="11" t="n"/>
      <c r="F115" s="13" t="n"/>
      <c r="G115" s="11" t="n"/>
      <c r="H115" s="13" t="n"/>
      <c r="I115" s="14">
        <f>IF(A115="","",IF(F115&lt;&gt;"",F115,IFERROR(INDEX(Products!$C:$C,MATCH(A115,Products!$A:$A,0)),"")))</f>
        <v/>
      </c>
      <c r="J115" s="14">
        <f>IF(OR(I115="",H115=""),"",I115-H115)</f>
        <v/>
      </c>
      <c r="K115" s="12">
        <f>IF(A115="","",IF(ISNA(MATCH(A115,Products!$A:$A,0)),"NAME NOT IN PRODUCTS",IF(D115="","ADD STORE SKU",IF(LEFT(D115,2)&lt;&gt;"v-","CHECK: STORE SKU STARTS WITH v-",IF(COUNTIF($D:$D,D115)&gt;1,"DUPLICATE STORE SKU",IF(COUNTIFS($A:$A,A115,$B:$B,B115,$C:$C,C115)&gt;1,"DUPLICATE COLOUR + SIZE","OK"))))))</f>
        <v/>
      </c>
    </row>
    <row r="116">
      <c r="A116" s="9" t="n"/>
      <c r="B116" s="9" t="n"/>
      <c r="C116" s="9" t="n"/>
      <c r="D116" s="9" t="n"/>
      <c r="E116" s="11" t="n"/>
      <c r="F116" s="13" t="n"/>
      <c r="G116" s="11" t="n"/>
      <c r="H116" s="13" t="n"/>
      <c r="I116" s="14">
        <f>IF(A116="","",IF(F116&lt;&gt;"",F116,IFERROR(INDEX(Products!$C:$C,MATCH(A116,Products!$A:$A,0)),"")))</f>
        <v/>
      </c>
      <c r="J116" s="14">
        <f>IF(OR(I116="",H116=""),"",I116-H116)</f>
        <v/>
      </c>
      <c r="K116" s="12">
        <f>IF(A116="","",IF(ISNA(MATCH(A116,Products!$A:$A,0)),"NAME NOT IN PRODUCTS",IF(D116="","ADD STORE SKU",IF(LEFT(D116,2)&lt;&gt;"v-","CHECK: STORE SKU STARTS WITH v-",IF(COUNTIF($D:$D,D116)&gt;1,"DUPLICATE STORE SKU",IF(COUNTIFS($A:$A,A116,$B:$B,B116,$C:$C,C116)&gt;1,"DUPLICATE COLOUR + SIZE","OK"))))))</f>
        <v/>
      </c>
    </row>
    <row r="117">
      <c r="A117" s="9" t="n"/>
      <c r="B117" s="9" t="n"/>
      <c r="C117" s="9" t="n"/>
      <c r="D117" s="9" t="n"/>
      <c r="E117" s="11" t="n"/>
      <c r="F117" s="13" t="n"/>
      <c r="G117" s="11" t="n"/>
      <c r="H117" s="13" t="n"/>
      <c r="I117" s="14">
        <f>IF(A117="","",IF(F117&lt;&gt;"",F117,IFERROR(INDEX(Products!$C:$C,MATCH(A117,Products!$A:$A,0)),"")))</f>
        <v/>
      </c>
      <c r="J117" s="14">
        <f>IF(OR(I117="",H117=""),"",I117-H117)</f>
        <v/>
      </c>
      <c r="K117" s="12">
        <f>IF(A117="","",IF(ISNA(MATCH(A117,Products!$A:$A,0)),"NAME NOT IN PRODUCTS",IF(D117="","ADD STORE SKU",IF(LEFT(D117,2)&lt;&gt;"v-","CHECK: STORE SKU STARTS WITH v-",IF(COUNTIF($D:$D,D117)&gt;1,"DUPLICATE STORE SKU",IF(COUNTIFS($A:$A,A117,$B:$B,B117,$C:$C,C117)&gt;1,"DUPLICATE COLOUR + SIZE","OK"))))))</f>
        <v/>
      </c>
    </row>
    <row r="118">
      <c r="A118" s="9" t="n"/>
      <c r="B118" s="9" t="n"/>
      <c r="C118" s="9" t="n"/>
      <c r="D118" s="9" t="n"/>
      <c r="E118" s="11" t="n"/>
      <c r="F118" s="13" t="n"/>
      <c r="G118" s="11" t="n"/>
      <c r="H118" s="13" t="n"/>
      <c r="I118" s="14">
        <f>IF(A118="","",IF(F118&lt;&gt;"",F118,IFERROR(INDEX(Products!$C:$C,MATCH(A118,Products!$A:$A,0)),"")))</f>
        <v/>
      </c>
      <c r="J118" s="14">
        <f>IF(OR(I118="",H118=""),"",I118-H118)</f>
        <v/>
      </c>
      <c r="K118" s="12">
        <f>IF(A118="","",IF(ISNA(MATCH(A118,Products!$A:$A,0)),"NAME NOT IN PRODUCTS",IF(D118="","ADD STORE SKU",IF(LEFT(D118,2)&lt;&gt;"v-","CHECK: STORE SKU STARTS WITH v-",IF(COUNTIF($D:$D,D118)&gt;1,"DUPLICATE STORE SKU",IF(COUNTIFS($A:$A,A118,$B:$B,B118,$C:$C,C118)&gt;1,"DUPLICATE COLOUR + SIZE","OK"))))))</f>
        <v/>
      </c>
    </row>
    <row r="119">
      <c r="A119" s="9" t="n"/>
      <c r="B119" s="9" t="n"/>
      <c r="C119" s="9" t="n"/>
      <c r="D119" s="9" t="n"/>
      <c r="E119" s="11" t="n"/>
      <c r="F119" s="13" t="n"/>
      <c r="G119" s="11" t="n"/>
      <c r="H119" s="13" t="n"/>
      <c r="I119" s="14">
        <f>IF(A119="","",IF(F119&lt;&gt;"",F119,IFERROR(INDEX(Products!$C:$C,MATCH(A119,Products!$A:$A,0)),"")))</f>
        <v/>
      </c>
      <c r="J119" s="14">
        <f>IF(OR(I119="",H119=""),"",I119-H119)</f>
        <v/>
      </c>
      <c r="K119" s="12">
        <f>IF(A119="","",IF(ISNA(MATCH(A119,Products!$A:$A,0)),"NAME NOT IN PRODUCTS",IF(D119="","ADD STORE SKU",IF(LEFT(D119,2)&lt;&gt;"v-","CHECK: STORE SKU STARTS WITH v-",IF(COUNTIF($D:$D,D119)&gt;1,"DUPLICATE STORE SKU",IF(COUNTIFS($A:$A,A119,$B:$B,B119,$C:$C,C119)&gt;1,"DUPLICATE COLOUR + SIZE","OK"))))))</f>
        <v/>
      </c>
    </row>
    <row r="120">
      <c r="A120" s="9" t="n"/>
      <c r="B120" s="9" t="n"/>
      <c r="C120" s="9" t="n"/>
      <c r="D120" s="9" t="n"/>
      <c r="E120" s="11" t="n"/>
      <c r="F120" s="13" t="n"/>
      <c r="G120" s="11" t="n"/>
      <c r="H120" s="13" t="n"/>
      <c r="I120" s="14">
        <f>IF(A120="","",IF(F120&lt;&gt;"",F120,IFERROR(INDEX(Products!$C:$C,MATCH(A120,Products!$A:$A,0)),"")))</f>
        <v/>
      </c>
      <c r="J120" s="14">
        <f>IF(OR(I120="",H120=""),"",I120-H120)</f>
        <v/>
      </c>
      <c r="K120" s="12">
        <f>IF(A120="","",IF(ISNA(MATCH(A120,Products!$A:$A,0)),"NAME NOT IN PRODUCTS",IF(D120="","ADD STORE SKU",IF(LEFT(D120,2)&lt;&gt;"v-","CHECK: STORE SKU STARTS WITH v-",IF(COUNTIF($D:$D,D120)&gt;1,"DUPLICATE STORE SKU",IF(COUNTIFS($A:$A,A120,$B:$B,B120,$C:$C,C120)&gt;1,"DUPLICATE COLOUR + SIZE","OK"))))))</f>
        <v/>
      </c>
    </row>
    <row r="121">
      <c r="A121" s="9" t="n"/>
      <c r="B121" s="9" t="n"/>
      <c r="C121" s="9" t="n"/>
      <c r="D121" s="9" t="n"/>
      <c r="E121" s="11" t="n"/>
      <c r="F121" s="13" t="n"/>
      <c r="G121" s="11" t="n"/>
      <c r="H121" s="13" t="n"/>
      <c r="I121" s="14">
        <f>IF(A121="","",IF(F121&lt;&gt;"",F121,IFERROR(INDEX(Products!$C:$C,MATCH(A121,Products!$A:$A,0)),"")))</f>
        <v/>
      </c>
      <c r="J121" s="14">
        <f>IF(OR(I121="",H121=""),"",I121-H121)</f>
        <v/>
      </c>
      <c r="K121" s="12">
        <f>IF(A121="","",IF(ISNA(MATCH(A121,Products!$A:$A,0)),"NAME NOT IN PRODUCTS",IF(D121="","ADD STORE SKU",IF(LEFT(D121,2)&lt;&gt;"v-","CHECK: STORE SKU STARTS WITH v-",IF(COUNTIF($D:$D,D121)&gt;1,"DUPLICATE STORE SKU",IF(COUNTIFS($A:$A,A121,$B:$B,B121,$C:$C,C121)&gt;1,"DUPLICATE COLOUR + SIZE","OK"))))))</f>
        <v/>
      </c>
    </row>
    <row r="122">
      <c r="A122" s="9" t="n"/>
      <c r="B122" s="9" t="n"/>
      <c r="C122" s="9" t="n"/>
      <c r="D122" s="9" t="n"/>
      <c r="E122" s="11" t="n"/>
      <c r="F122" s="13" t="n"/>
      <c r="G122" s="11" t="n"/>
      <c r="H122" s="13" t="n"/>
      <c r="I122" s="14">
        <f>IF(A122="","",IF(F122&lt;&gt;"",F122,IFERROR(INDEX(Products!$C:$C,MATCH(A122,Products!$A:$A,0)),"")))</f>
        <v/>
      </c>
      <c r="J122" s="14">
        <f>IF(OR(I122="",H122=""),"",I122-H122)</f>
        <v/>
      </c>
      <c r="K122" s="12">
        <f>IF(A122="","",IF(ISNA(MATCH(A122,Products!$A:$A,0)),"NAME NOT IN PRODUCTS",IF(D122="","ADD STORE SKU",IF(LEFT(D122,2)&lt;&gt;"v-","CHECK: STORE SKU STARTS WITH v-",IF(COUNTIF($D:$D,D122)&gt;1,"DUPLICATE STORE SKU",IF(COUNTIFS($A:$A,A122,$B:$B,B122,$C:$C,C122)&gt;1,"DUPLICATE COLOUR + SIZE","OK"))))))</f>
        <v/>
      </c>
    </row>
    <row r="123">
      <c r="A123" s="9" t="n"/>
      <c r="B123" s="9" t="n"/>
      <c r="C123" s="9" t="n"/>
      <c r="D123" s="9" t="n"/>
      <c r="E123" s="11" t="n"/>
      <c r="F123" s="13" t="n"/>
      <c r="G123" s="11" t="n"/>
      <c r="H123" s="13" t="n"/>
      <c r="I123" s="14">
        <f>IF(A123="","",IF(F123&lt;&gt;"",F123,IFERROR(INDEX(Products!$C:$C,MATCH(A123,Products!$A:$A,0)),"")))</f>
        <v/>
      </c>
      <c r="J123" s="14">
        <f>IF(OR(I123="",H123=""),"",I123-H123)</f>
        <v/>
      </c>
      <c r="K123" s="12">
        <f>IF(A123="","",IF(ISNA(MATCH(A123,Products!$A:$A,0)),"NAME NOT IN PRODUCTS",IF(D123="","ADD STORE SKU",IF(LEFT(D123,2)&lt;&gt;"v-","CHECK: STORE SKU STARTS WITH v-",IF(COUNTIF($D:$D,D123)&gt;1,"DUPLICATE STORE SKU",IF(COUNTIFS($A:$A,A123,$B:$B,B123,$C:$C,C123)&gt;1,"DUPLICATE COLOUR + SIZE","OK"))))))</f>
        <v/>
      </c>
    </row>
    <row r="124">
      <c r="A124" s="9" t="n"/>
      <c r="B124" s="9" t="n"/>
      <c r="C124" s="9" t="n"/>
      <c r="D124" s="9" t="n"/>
      <c r="E124" s="11" t="n"/>
      <c r="F124" s="13" t="n"/>
      <c r="G124" s="11" t="n"/>
      <c r="H124" s="13" t="n"/>
      <c r="I124" s="14">
        <f>IF(A124="","",IF(F124&lt;&gt;"",F124,IFERROR(INDEX(Products!$C:$C,MATCH(A124,Products!$A:$A,0)),"")))</f>
        <v/>
      </c>
      <c r="J124" s="14">
        <f>IF(OR(I124="",H124=""),"",I124-H124)</f>
        <v/>
      </c>
      <c r="K124" s="12">
        <f>IF(A124="","",IF(ISNA(MATCH(A124,Products!$A:$A,0)),"NAME NOT IN PRODUCTS",IF(D124="","ADD STORE SKU",IF(LEFT(D124,2)&lt;&gt;"v-","CHECK: STORE SKU STARTS WITH v-",IF(COUNTIF($D:$D,D124)&gt;1,"DUPLICATE STORE SKU",IF(COUNTIFS($A:$A,A124,$B:$B,B124,$C:$C,C124)&gt;1,"DUPLICATE COLOUR + SIZE","OK"))))))</f>
        <v/>
      </c>
    </row>
    <row r="125">
      <c r="A125" s="9" t="n"/>
      <c r="B125" s="9" t="n"/>
      <c r="C125" s="9" t="n"/>
      <c r="D125" s="9" t="n"/>
      <c r="E125" s="11" t="n"/>
      <c r="F125" s="13" t="n"/>
      <c r="G125" s="11" t="n"/>
      <c r="H125" s="13" t="n"/>
      <c r="I125" s="14">
        <f>IF(A125="","",IF(F125&lt;&gt;"",F125,IFERROR(INDEX(Products!$C:$C,MATCH(A125,Products!$A:$A,0)),"")))</f>
        <v/>
      </c>
      <c r="J125" s="14">
        <f>IF(OR(I125="",H125=""),"",I125-H125)</f>
        <v/>
      </c>
      <c r="K125" s="12">
        <f>IF(A125="","",IF(ISNA(MATCH(A125,Products!$A:$A,0)),"NAME NOT IN PRODUCTS",IF(D125="","ADD STORE SKU",IF(LEFT(D125,2)&lt;&gt;"v-","CHECK: STORE SKU STARTS WITH v-",IF(COUNTIF($D:$D,D125)&gt;1,"DUPLICATE STORE SKU",IF(COUNTIFS($A:$A,A125,$B:$B,B125,$C:$C,C125)&gt;1,"DUPLICATE COLOUR + SIZE","OK"))))))</f>
        <v/>
      </c>
    </row>
    <row r="126">
      <c r="A126" s="9" t="n"/>
      <c r="B126" s="9" t="n"/>
      <c r="C126" s="9" t="n"/>
      <c r="D126" s="9" t="n"/>
      <c r="E126" s="11" t="n"/>
      <c r="F126" s="13" t="n"/>
      <c r="G126" s="11" t="n"/>
      <c r="H126" s="13" t="n"/>
      <c r="I126" s="14">
        <f>IF(A126="","",IF(F126&lt;&gt;"",F126,IFERROR(INDEX(Products!$C:$C,MATCH(A126,Products!$A:$A,0)),"")))</f>
        <v/>
      </c>
      <c r="J126" s="14">
        <f>IF(OR(I126="",H126=""),"",I126-H126)</f>
        <v/>
      </c>
      <c r="K126" s="12">
        <f>IF(A126="","",IF(ISNA(MATCH(A126,Products!$A:$A,0)),"NAME NOT IN PRODUCTS",IF(D126="","ADD STORE SKU",IF(LEFT(D126,2)&lt;&gt;"v-","CHECK: STORE SKU STARTS WITH v-",IF(COUNTIF($D:$D,D126)&gt;1,"DUPLICATE STORE SKU",IF(COUNTIFS($A:$A,A126,$B:$B,B126,$C:$C,C126)&gt;1,"DUPLICATE COLOUR + SIZE","OK"))))))</f>
        <v/>
      </c>
    </row>
    <row r="127">
      <c r="A127" s="9" t="n"/>
      <c r="B127" s="9" t="n"/>
      <c r="C127" s="9" t="n"/>
      <c r="D127" s="9" t="n"/>
      <c r="E127" s="11" t="n"/>
      <c r="F127" s="13" t="n"/>
      <c r="G127" s="11" t="n"/>
      <c r="H127" s="13" t="n"/>
      <c r="I127" s="14">
        <f>IF(A127="","",IF(F127&lt;&gt;"",F127,IFERROR(INDEX(Products!$C:$C,MATCH(A127,Products!$A:$A,0)),"")))</f>
        <v/>
      </c>
      <c r="J127" s="14">
        <f>IF(OR(I127="",H127=""),"",I127-H127)</f>
        <v/>
      </c>
      <c r="K127" s="12">
        <f>IF(A127="","",IF(ISNA(MATCH(A127,Products!$A:$A,0)),"NAME NOT IN PRODUCTS",IF(D127="","ADD STORE SKU",IF(LEFT(D127,2)&lt;&gt;"v-","CHECK: STORE SKU STARTS WITH v-",IF(COUNTIF($D:$D,D127)&gt;1,"DUPLICATE STORE SKU",IF(COUNTIFS($A:$A,A127,$B:$B,B127,$C:$C,C127)&gt;1,"DUPLICATE COLOUR + SIZE","OK"))))))</f>
        <v/>
      </c>
    </row>
    <row r="128">
      <c r="A128" s="9" t="n"/>
      <c r="B128" s="9" t="n"/>
      <c r="C128" s="9" t="n"/>
      <c r="D128" s="9" t="n"/>
      <c r="E128" s="11" t="n"/>
      <c r="F128" s="13" t="n"/>
      <c r="G128" s="11" t="n"/>
      <c r="H128" s="13" t="n"/>
      <c r="I128" s="14">
        <f>IF(A128="","",IF(F128&lt;&gt;"",F128,IFERROR(INDEX(Products!$C:$C,MATCH(A128,Products!$A:$A,0)),"")))</f>
        <v/>
      </c>
      <c r="J128" s="14">
        <f>IF(OR(I128="",H128=""),"",I128-H128)</f>
        <v/>
      </c>
      <c r="K128" s="12">
        <f>IF(A128="","",IF(ISNA(MATCH(A128,Products!$A:$A,0)),"NAME NOT IN PRODUCTS",IF(D128="","ADD STORE SKU",IF(LEFT(D128,2)&lt;&gt;"v-","CHECK: STORE SKU STARTS WITH v-",IF(COUNTIF($D:$D,D128)&gt;1,"DUPLICATE STORE SKU",IF(COUNTIFS($A:$A,A128,$B:$B,B128,$C:$C,C128)&gt;1,"DUPLICATE COLOUR + SIZE","OK"))))))</f>
        <v/>
      </c>
    </row>
    <row r="129">
      <c r="A129" s="9" t="n"/>
      <c r="B129" s="9" t="n"/>
      <c r="C129" s="9" t="n"/>
      <c r="D129" s="9" t="n"/>
      <c r="E129" s="11" t="n"/>
      <c r="F129" s="13" t="n"/>
      <c r="G129" s="11" t="n"/>
      <c r="H129" s="13" t="n"/>
      <c r="I129" s="14">
        <f>IF(A129="","",IF(F129&lt;&gt;"",F129,IFERROR(INDEX(Products!$C:$C,MATCH(A129,Products!$A:$A,0)),"")))</f>
        <v/>
      </c>
      <c r="J129" s="14">
        <f>IF(OR(I129="",H129=""),"",I129-H129)</f>
        <v/>
      </c>
      <c r="K129" s="12">
        <f>IF(A129="","",IF(ISNA(MATCH(A129,Products!$A:$A,0)),"NAME NOT IN PRODUCTS",IF(D129="","ADD STORE SKU",IF(LEFT(D129,2)&lt;&gt;"v-","CHECK: STORE SKU STARTS WITH v-",IF(COUNTIF($D:$D,D129)&gt;1,"DUPLICATE STORE SKU",IF(COUNTIFS($A:$A,A129,$B:$B,B129,$C:$C,C129)&gt;1,"DUPLICATE COLOUR + SIZE","OK"))))))</f>
        <v/>
      </c>
    </row>
    <row r="130">
      <c r="A130" s="9" t="n"/>
      <c r="B130" s="9" t="n"/>
      <c r="C130" s="9" t="n"/>
      <c r="D130" s="9" t="n"/>
      <c r="E130" s="11" t="n"/>
      <c r="F130" s="13" t="n"/>
      <c r="G130" s="11" t="n"/>
      <c r="H130" s="13" t="n"/>
      <c r="I130" s="14">
        <f>IF(A130="","",IF(F130&lt;&gt;"",F130,IFERROR(INDEX(Products!$C:$C,MATCH(A130,Products!$A:$A,0)),"")))</f>
        <v/>
      </c>
      <c r="J130" s="14">
        <f>IF(OR(I130="",H130=""),"",I130-H130)</f>
        <v/>
      </c>
      <c r="K130" s="12">
        <f>IF(A130="","",IF(ISNA(MATCH(A130,Products!$A:$A,0)),"NAME NOT IN PRODUCTS",IF(D130="","ADD STORE SKU",IF(LEFT(D130,2)&lt;&gt;"v-","CHECK: STORE SKU STARTS WITH v-",IF(COUNTIF($D:$D,D130)&gt;1,"DUPLICATE STORE SKU",IF(COUNTIFS($A:$A,A130,$B:$B,B130,$C:$C,C130)&gt;1,"DUPLICATE COLOUR + SIZE","OK"))))))</f>
        <v/>
      </c>
    </row>
    <row r="131">
      <c r="A131" s="9" t="n"/>
      <c r="B131" s="9" t="n"/>
      <c r="C131" s="9" t="n"/>
      <c r="D131" s="9" t="n"/>
      <c r="E131" s="11" t="n"/>
      <c r="F131" s="13" t="n"/>
      <c r="G131" s="11" t="n"/>
      <c r="H131" s="13" t="n"/>
      <c r="I131" s="14">
        <f>IF(A131="","",IF(F131&lt;&gt;"",F131,IFERROR(INDEX(Products!$C:$C,MATCH(A131,Products!$A:$A,0)),"")))</f>
        <v/>
      </c>
      <c r="J131" s="14">
        <f>IF(OR(I131="",H131=""),"",I131-H131)</f>
        <v/>
      </c>
      <c r="K131" s="12">
        <f>IF(A131="","",IF(ISNA(MATCH(A131,Products!$A:$A,0)),"NAME NOT IN PRODUCTS",IF(D131="","ADD STORE SKU",IF(LEFT(D131,2)&lt;&gt;"v-","CHECK: STORE SKU STARTS WITH v-",IF(COUNTIF($D:$D,D131)&gt;1,"DUPLICATE STORE SKU",IF(COUNTIFS($A:$A,A131,$B:$B,B131,$C:$C,C131)&gt;1,"DUPLICATE COLOUR + SIZE","OK"))))))</f>
        <v/>
      </c>
    </row>
    <row r="132">
      <c r="A132" s="9" t="n"/>
      <c r="B132" s="9" t="n"/>
      <c r="C132" s="9" t="n"/>
      <c r="D132" s="9" t="n"/>
      <c r="E132" s="11" t="n"/>
      <c r="F132" s="13" t="n"/>
      <c r="G132" s="11" t="n"/>
      <c r="H132" s="13" t="n"/>
      <c r="I132" s="14">
        <f>IF(A132="","",IF(F132&lt;&gt;"",F132,IFERROR(INDEX(Products!$C:$C,MATCH(A132,Products!$A:$A,0)),"")))</f>
        <v/>
      </c>
      <c r="J132" s="14">
        <f>IF(OR(I132="",H132=""),"",I132-H132)</f>
        <v/>
      </c>
      <c r="K132" s="12">
        <f>IF(A132="","",IF(ISNA(MATCH(A132,Products!$A:$A,0)),"NAME NOT IN PRODUCTS",IF(D132="","ADD STORE SKU",IF(LEFT(D132,2)&lt;&gt;"v-","CHECK: STORE SKU STARTS WITH v-",IF(COUNTIF($D:$D,D132)&gt;1,"DUPLICATE STORE SKU",IF(COUNTIFS($A:$A,A132,$B:$B,B132,$C:$C,C132)&gt;1,"DUPLICATE COLOUR + SIZE","OK"))))))</f>
        <v/>
      </c>
    </row>
    <row r="133">
      <c r="A133" s="9" t="n"/>
      <c r="B133" s="9" t="n"/>
      <c r="C133" s="9" t="n"/>
      <c r="D133" s="9" t="n"/>
      <c r="E133" s="11" t="n"/>
      <c r="F133" s="13" t="n"/>
      <c r="G133" s="11" t="n"/>
      <c r="H133" s="13" t="n"/>
      <c r="I133" s="14">
        <f>IF(A133="","",IF(F133&lt;&gt;"",F133,IFERROR(INDEX(Products!$C:$C,MATCH(A133,Products!$A:$A,0)),"")))</f>
        <v/>
      </c>
      <c r="J133" s="14">
        <f>IF(OR(I133="",H133=""),"",I133-H133)</f>
        <v/>
      </c>
      <c r="K133" s="12">
        <f>IF(A133="","",IF(ISNA(MATCH(A133,Products!$A:$A,0)),"NAME NOT IN PRODUCTS",IF(D133="","ADD STORE SKU",IF(LEFT(D133,2)&lt;&gt;"v-","CHECK: STORE SKU STARTS WITH v-",IF(COUNTIF($D:$D,D133)&gt;1,"DUPLICATE STORE SKU",IF(COUNTIFS($A:$A,A133,$B:$B,B133,$C:$C,C133)&gt;1,"DUPLICATE COLOUR + SIZE","OK"))))))</f>
        <v/>
      </c>
    </row>
    <row r="134">
      <c r="A134" s="9" t="n"/>
      <c r="B134" s="9" t="n"/>
      <c r="C134" s="9" t="n"/>
      <c r="D134" s="9" t="n"/>
      <c r="E134" s="11" t="n"/>
      <c r="F134" s="13" t="n"/>
      <c r="G134" s="11" t="n"/>
      <c r="H134" s="13" t="n"/>
      <c r="I134" s="14">
        <f>IF(A134="","",IF(F134&lt;&gt;"",F134,IFERROR(INDEX(Products!$C:$C,MATCH(A134,Products!$A:$A,0)),"")))</f>
        <v/>
      </c>
      <c r="J134" s="14">
        <f>IF(OR(I134="",H134=""),"",I134-H134)</f>
        <v/>
      </c>
      <c r="K134" s="12">
        <f>IF(A134="","",IF(ISNA(MATCH(A134,Products!$A:$A,0)),"NAME NOT IN PRODUCTS",IF(D134="","ADD STORE SKU",IF(LEFT(D134,2)&lt;&gt;"v-","CHECK: STORE SKU STARTS WITH v-",IF(COUNTIF($D:$D,D134)&gt;1,"DUPLICATE STORE SKU",IF(COUNTIFS($A:$A,A134,$B:$B,B134,$C:$C,C134)&gt;1,"DUPLICATE COLOUR + SIZE","OK"))))))</f>
        <v/>
      </c>
    </row>
    <row r="135">
      <c r="A135" s="9" t="n"/>
      <c r="B135" s="9" t="n"/>
      <c r="C135" s="9" t="n"/>
      <c r="D135" s="9" t="n"/>
      <c r="E135" s="11" t="n"/>
      <c r="F135" s="13" t="n"/>
      <c r="G135" s="11" t="n"/>
      <c r="H135" s="13" t="n"/>
      <c r="I135" s="14">
        <f>IF(A135="","",IF(F135&lt;&gt;"",F135,IFERROR(INDEX(Products!$C:$C,MATCH(A135,Products!$A:$A,0)),"")))</f>
        <v/>
      </c>
      <c r="J135" s="14">
        <f>IF(OR(I135="",H135=""),"",I135-H135)</f>
        <v/>
      </c>
      <c r="K135" s="12">
        <f>IF(A135="","",IF(ISNA(MATCH(A135,Products!$A:$A,0)),"NAME NOT IN PRODUCTS",IF(D135="","ADD STORE SKU",IF(LEFT(D135,2)&lt;&gt;"v-","CHECK: STORE SKU STARTS WITH v-",IF(COUNTIF($D:$D,D135)&gt;1,"DUPLICATE STORE SKU",IF(COUNTIFS($A:$A,A135,$B:$B,B135,$C:$C,C135)&gt;1,"DUPLICATE COLOUR + SIZE","OK"))))))</f>
        <v/>
      </c>
    </row>
    <row r="136">
      <c r="A136" s="9" t="n"/>
      <c r="B136" s="9" t="n"/>
      <c r="C136" s="9" t="n"/>
      <c r="D136" s="9" t="n"/>
      <c r="E136" s="11" t="n"/>
      <c r="F136" s="13" t="n"/>
      <c r="G136" s="11" t="n"/>
      <c r="H136" s="13" t="n"/>
      <c r="I136" s="14">
        <f>IF(A136="","",IF(F136&lt;&gt;"",F136,IFERROR(INDEX(Products!$C:$C,MATCH(A136,Products!$A:$A,0)),"")))</f>
        <v/>
      </c>
      <c r="J136" s="14">
        <f>IF(OR(I136="",H136=""),"",I136-H136)</f>
        <v/>
      </c>
      <c r="K136" s="12">
        <f>IF(A136="","",IF(ISNA(MATCH(A136,Products!$A:$A,0)),"NAME NOT IN PRODUCTS",IF(D136="","ADD STORE SKU",IF(LEFT(D136,2)&lt;&gt;"v-","CHECK: STORE SKU STARTS WITH v-",IF(COUNTIF($D:$D,D136)&gt;1,"DUPLICATE STORE SKU",IF(COUNTIFS($A:$A,A136,$B:$B,B136,$C:$C,C136)&gt;1,"DUPLICATE COLOUR + SIZE","OK"))))))</f>
        <v/>
      </c>
    </row>
    <row r="137">
      <c r="A137" s="9" t="n"/>
      <c r="B137" s="9" t="n"/>
      <c r="C137" s="9" t="n"/>
      <c r="D137" s="9" t="n"/>
      <c r="E137" s="11" t="n"/>
      <c r="F137" s="13" t="n"/>
      <c r="G137" s="11" t="n"/>
      <c r="H137" s="13" t="n"/>
      <c r="I137" s="14">
        <f>IF(A137="","",IF(F137&lt;&gt;"",F137,IFERROR(INDEX(Products!$C:$C,MATCH(A137,Products!$A:$A,0)),"")))</f>
        <v/>
      </c>
      <c r="J137" s="14">
        <f>IF(OR(I137="",H137=""),"",I137-H137)</f>
        <v/>
      </c>
      <c r="K137" s="12">
        <f>IF(A137="","",IF(ISNA(MATCH(A137,Products!$A:$A,0)),"NAME NOT IN PRODUCTS",IF(D137="","ADD STORE SKU",IF(LEFT(D137,2)&lt;&gt;"v-","CHECK: STORE SKU STARTS WITH v-",IF(COUNTIF($D:$D,D137)&gt;1,"DUPLICATE STORE SKU",IF(COUNTIFS($A:$A,A137,$B:$B,B137,$C:$C,C137)&gt;1,"DUPLICATE COLOUR + SIZE","OK"))))))</f>
        <v/>
      </c>
    </row>
    <row r="138">
      <c r="A138" s="9" t="n"/>
      <c r="B138" s="9" t="n"/>
      <c r="C138" s="9" t="n"/>
      <c r="D138" s="9" t="n"/>
      <c r="E138" s="11" t="n"/>
      <c r="F138" s="13" t="n"/>
      <c r="G138" s="11" t="n"/>
      <c r="H138" s="13" t="n"/>
      <c r="I138" s="14">
        <f>IF(A138="","",IF(F138&lt;&gt;"",F138,IFERROR(INDEX(Products!$C:$C,MATCH(A138,Products!$A:$A,0)),"")))</f>
        <v/>
      </c>
      <c r="J138" s="14">
        <f>IF(OR(I138="",H138=""),"",I138-H138)</f>
        <v/>
      </c>
      <c r="K138" s="12">
        <f>IF(A138="","",IF(ISNA(MATCH(A138,Products!$A:$A,0)),"NAME NOT IN PRODUCTS",IF(D138="","ADD STORE SKU",IF(LEFT(D138,2)&lt;&gt;"v-","CHECK: STORE SKU STARTS WITH v-",IF(COUNTIF($D:$D,D138)&gt;1,"DUPLICATE STORE SKU",IF(COUNTIFS($A:$A,A138,$B:$B,B138,$C:$C,C138)&gt;1,"DUPLICATE COLOUR + SIZE","OK"))))))</f>
        <v/>
      </c>
    </row>
    <row r="139">
      <c r="A139" s="9" t="n"/>
      <c r="B139" s="9" t="n"/>
      <c r="C139" s="9" t="n"/>
      <c r="D139" s="9" t="n"/>
      <c r="E139" s="11" t="n"/>
      <c r="F139" s="13" t="n"/>
      <c r="G139" s="11" t="n"/>
      <c r="H139" s="13" t="n"/>
      <c r="I139" s="14">
        <f>IF(A139="","",IF(F139&lt;&gt;"",F139,IFERROR(INDEX(Products!$C:$C,MATCH(A139,Products!$A:$A,0)),"")))</f>
        <v/>
      </c>
      <c r="J139" s="14">
        <f>IF(OR(I139="",H139=""),"",I139-H139)</f>
        <v/>
      </c>
      <c r="K139" s="12">
        <f>IF(A139="","",IF(ISNA(MATCH(A139,Products!$A:$A,0)),"NAME NOT IN PRODUCTS",IF(D139="","ADD STORE SKU",IF(LEFT(D139,2)&lt;&gt;"v-","CHECK: STORE SKU STARTS WITH v-",IF(COUNTIF($D:$D,D139)&gt;1,"DUPLICATE STORE SKU",IF(COUNTIFS($A:$A,A139,$B:$B,B139,$C:$C,C139)&gt;1,"DUPLICATE COLOUR + SIZE","OK"))))))</f>
        <v/>
      </c>
    </row>
    <row r="140">
      <c r="A140" s="9" t="n"/>
      <c r="B140" s="9" t="n"/>
      <c r="C140" s="9" t="n"/>
      <c r="D140" s="9" t="n"/>
      <c r="E140" s="11" t="n"/>
      <c r="F140" s="13" t="n"/>
      <c r="G140" s="11" t="n"/>
      <c r="H140" s="13" t="n"/>
      <c r="I140" s="14">
        <f>IF(A140="","",IF(F140&lt;&gt;"",F140,IFERROR(INDEX(Products!$C:$C,MATCH(A140,Products!$A:$A,0)),"")))</f>
        <v/>
      </c>
      <c r="J140" s="14">
        <f>IF(OR(I140="",H140=""),"",I140-H140)</f>
        <v/>
      </c>
      <c r="K140" s="12">
        <f>IF(A140="","",IF(ISNA(MATCH(A140,Products!$A:$A,0)),"NAME NOT IN PRODUCTS",IF(D140="","ADD STORE SKU",IF(LEFT(D140,2)&lt;&gt;"v-","CHECK: STORE SKU STARTS WITH v-",IF(COUNTIF($D:$D,D140)&gt;1,"DUPLICATE STORE SKU",IF(COUNTIFS($A:$A,A140,$B:$B,B140,$C:$C,C140)&gt;1,"DUPLICATE COLOUR + SIZE","OK"))))))</f>
        <v/>
      </c>
    </row>
    <row r="141">
      <c r="A141" s="9" t="n"/>
      <c r="B141" s="9" t="n"/>
      <c r="C141" s="9" t="n"/>
      <c r="D141" s="9" t="n"/>
      <c r="E141" s="11" t="n"/>
      <c r="F141" s="13" t="n"/>
      <c r="G141" s="11" t="n"/>
      <c r="H141" s="13" t="n"/>
      <c r="I141" s="14">
        <f>IF(A141="","",IF(F141&lt;&gt;"",F141,IFERROR(INDEX(Products!$C:$C,MATCH(A141,Products!$A:$A,0)),"")))</f>
        <v/>
      </c>
      <c r="J141" s="14">
        <f>IF(OR(I141="",H141=""),"",I141-H141)</f>
        <v/>
      </c>
      <c r="K141" s="12">
        <f>IF(A141="","",IF(ISNA(MATCH(A141,Products!$A:$A,0)),"NAME NOT IN PRODUCTS",IF(D141="","ADD STORE SKU",IF(LEFT(D141,2)&lt;&gt;"v-","CHECK: STORE SKU STARTS WITH v-",IF(COUNTIF($D:$D,D141)&gt;1,"DUPLICATE STORE SKU",IF(COUNTIFS($A:$A,A141,$B:$B,B141,$C:$C,C141)&gt;1,"DUPLICATE COLOUR + SIZE","OK"))))))</f>
        <v/>
      </c>
    </row>
    <row r="142">
      <c r="A142" s="9" t="n"/>
      <c r="B142" s="9" t="n"/>
      <c r="C142" s="9" t="n"/>
      <c r="D142" s="9" t="n"/>
      <c r="E142" s="11" t="n"/>
      <c r="F142" s="13" t="n"/>
      <c r="G142" s="11" t="n"/>
      <c r="H142" s="13" t="n"/>
      <c r="I142" s="14">
        <f>IF(A142="","",IF(F142&lt;&gt;"",F142,IFERROR(INDEX(Products!$C:$C,MATCH(A142,Products!$A:$A,0)),"")))</f>
        <v/>
      </c>
      <c r="J142" s="14">
        <f>IF(OR(I142="",H142=""),"",I142-H142)</f>
        <v/>
      </c>
      <c r="K142" s="12">
        <f>IF(A142="","",IF(ISNA(MATCH(A142,Products!$A:$A,0)),"NAME NOT IN PRODUCTS",IF(D142="","ADD STORE SKU",IF(LEFT(D142,2)&lt;&gt;"v-","CHECK: STORE SKU STARTS WITH v-",IF(COUNTIF($D:$D,D142)&gt;1,"DUPLICATE STORE SKU",IF(COUNTIFS($A:$A,A142,$B:$B,B142,$C:$C,C142)&gt;1,"DUPLICATE COLOUR + SIZE","OK"))))))</f>
        <v/>
      </c>
    </row>
    <row r="143">
      <c r="A143" s="9" t="n"/>
      <c r="B143" s="9" t="n"/>
      <c r="C143" s="9" t="n"/>
      <c r="D143" s="9" t="n"/>
      <c r="E143" s="11" t="n"/>
      <c r="F143" s="13" t="n"/>
      <c r="G143" s="11" t="n"/>
      <c r="H143" s="13" t="n"/>
      <c r="I143" s="14">
        <f>IF(A143="","",IF(F143&lt;&gt;"",F143,IFERROR(INDEX(Products!$C:$C,MATCH(A143,Products!$A:$A,0)),"")))</f>
        <v/>
      </c>
      <c r="J143" s="14">
        <f>IF(OR(I143="",H143=""),"",I143-H143)</f>
        <v/>
      </c>
      <c r="K143" s="12">
        <f>IF(A143="","",IF(ISNA(MATCH(A143,Products!$A:$A,0)),"NAME NOT IN PRODUCTS",IF(D143="","ADD STORE SKU",IF(LEFT(D143,2)&lt;&gt;"v-","CHECK: STORE SKU STARTS WITH v-",IF(COUNTIF($D:$D,D143)&gt;1,"DUPLICATE STORE SKU",IF(COUNTIFS($A:$A,A143,$B:$B,B143,$C:$C,C143)&gt;1,"DUPLICATE COLOUR + SIZE","OK"))))))</f>
        <v/>
      </c>
    </row>
    <row r="144">
      <c r="A144" s="9" t="n"/>
      <c r="B144" s="9" t="n"/>
      <c r="C144" s="9" t="n"/>
      <c r="D144" s="9" t="n"/>
      <c r="E144" s="11" t="n"/>
      <c r="F144" s="13" t="n"/>
      <c r="G144" s="11" t="n"/>
      <c r="H144" s="13" t="n"/>
      <c r="I144" s="14">
        <f>IF(A144="","",IF(F144&lt;&gt;"",F144,IFERROR(INDEX(Products!$C:$C,MATCH(A144,Products!$A:$A,0)),"")))</f>
        <v/>
      </c>
      <c r="J144" s="14">
        <f>IF(OR(I144="",H144=""),"",I144-H144)</f>
        <v/>
      </c>
      <c r="K144" s="12">
        <f>IF(A144="","",IF(ISNA(MATCH(A144,Products!$A:$A,0)),"NAME NOT IN PRODUCTS",IF(D144="","ADD STORE SKU",IF(LEFT(D144,2)&lt;&gt;"v-","CHECK: STORE SKU STARTS WITH v-",IF(COUNTIF($D:$D,D144)&gt;1,"DUPLICATE STORE SKU",IF(COUNTIFS($A:$A,A144,$B:$B,B144,$C:$C,C144)&gt;1,"DUPLICATE COLOUR + SIZE","OK"))))))</f>
        <v/>
      </c>
    </row>
    <row r="145">
      <c r="A145" s="9" t="n"/>
      <c r="B145" s="9" t="n"/>
      <c r="C145" s="9" t="n"/>
      <c r="D145" s="9" t="n"/>
      <c r="E145" s="11" t="n"/>
      <c r="F145" s="13" t="n"/>
      <c r="G145" s="11" t="n"/>
      <c r="H145" s="13" t="n"/>
      <c r="I145" s="14">
        <f>IF(A145="","",IF(F145&lt;&gt;"",F145,IFERROR(INDEX(Products!$C:$C,MATCH(A145,Products!$A:$A,0)),"")))</f>
        <v/>
      </c>
      <c r="J145" s="14">
        <f>IF(OR(I145="",H145=""),"",I145-H145)</f>
        <v/>
      </c>
      <c r="K145" s="12">
        <f>IF(A145="","",IF(ISNA(MATCH(A145,Products!$A:$A,0)),"NAME NOT IN PRODUCTS",IF(D145="","ADD STORE SKU",IF(LEFT(D145,2)&lt;&gt;"v-","CHECK: STORE SKU STARTS WITH v-",IF(COUNTIF($D:$D,D145)&gt;1,"DUPLICATE STORE SKU",IF(COUNTIFS($A:$A,A145,$B:$B,B145,$C:$C,C145)&gt;1,"DUPLICATE COLOUR + SIZE","OK"))))))</f>
        <v/>
      </c>
    </row>
    <row r="146">
      <c r="A146" s="9" t="n"/>
      <c r="B146" s="9" t="n"/>
      <c r="C146" s="9" t="n"/>
      <c r="D146" s="9" t="n"/>
      <c r="E146" s="11" t="n"/>
      <c r="F146" s="13" t="n"/>
      <c r="G146" s="11" t="n"/>
      <c r="H146" s="13" t="n"/>
      <c r="I146" s="14">
        <f>IF(A146="","",IF(F146&lt;&gt;"",F146,IFERROR(INDEX(Products!$C:$C,MATCH(A146,Products!$A:$A,0)),"")))</f>
        <v/>
      </c>
      <c r="J146" s="14">
        <f>IF(OR(I146="",H146=""),"",I146-H146)</f>
        <v/>
      </c>
      <c r="K146" s="12">
        <f>IF(A146="","",IF(ISNA(MATCH(A146,Products!$A:$A,0)),"NAME NOT IN PRODUCTS",IF(D146="","ADD STORE SKU",IF(LEFT(D146,2)&lt;&gt;"v-","CHECK: STORE SKU STARTS WITH v-",IF(COUNTIF($D:$D,D146)&gt;1,"DUPLICATE STORE SKU",IF(COUNTIFS($A:$A,A146,$B:$B,B146,$C:$C,C146)&gt;1,"DUPLICATE COLOUR + SIZE","OK"))))))</f>
        <v/>
      </c>
    </row>
    <row r="147">
      <c r="A147" s="9" t="n"/>
      <c r="B147" s="9" t="n"/>
      <c r="C147" s="9" t="n"/>
      <c r="D147" s="9" t="n"/>
      <c r="E147" s="11" t="n"/>
      <c r="F147" s="13" t="n"/>
      <c r="G147" s="11" t="n"/>
      <c r="H147" s="13" t="n"/>
      <c r="I147" s="14">
        <f>IF(A147="","",IF(F147&lt;&gt;"",F147,IFERROR(INDEX(Products!$C:$C,MATCH(A147,Products!$A:$A,0)),"")))</f>
        <v/>
      </c>
      <c r="J147" s="14">
        <f>IF(OR(I147="",H147=""),"",I147-H147)</f>
        <v/>
      </c>
      <c r="K147" s="12">
        <f>IF(A147="","",IF(ISNA(MATCH(A147,Products!$A:$A,0)),"NAME NOT IN PRODUCTS",IF(D147="","ADD STORE SKU",IF(LEFT(D147,2)&lt;&gt;"v-","CHECK: STORE SKU STARTS WITH v-",IF(COUNTIF($D:$D,D147)&gt;1,"DUPLICATE STORE SKU",IF(COUNTIFS($A:$A,A147,$B:$B,B147,$C:$C,C147)&gt;1,"DUPLICATE COLOUR + SIZE","OK"))))))</f>
        <v/>
      </c>
    </row>
    <row r="148">
      <c r="A148" s="9" t="n"/>
      <c r="B148" s="9" t="n"/>
      <c r="C148" s="9" t="n"/>
      <c r="D148" s="9" t="n"/>
      <c r="E148" s="11" t="n"/>
      <c r="F148" s="13" t="n"/>
      <c r="G148" s="11" t="n"/>
      <c r="H148" s="13" t="n"/>
      <c r="I148" s="14">
        <f>IF(A148="","",IF(F148&lt;&gt;"",F148,IFERROR(INDEX(Products!$C:$C,MATCH(A148,Products!$A:$A,0)),"")))</f>
        <v/>
      </c>
      <c r="J148" s="14">
        <f>IF(OR(I148="",H148=""),"",I148-H148)</f>
        <v/>
      </c>
      <c r="K148" s="12">
        <f>IF(A148="","",IF(ISNA(MATCH(A148,Products!$A:$A,0)),"NAME NOT IN PRODUCTS",IF(D148="","ADD STORE SKU",IF(LEFT(D148,2)&lt;&gt;"v-","CHECK: STORE SKU STARTS WITH v-",IF(COUNTIF($D:$D,D148)&gt;1,"DUPLICATE STORE SKU",IF(COUNTIFS($A:$A,A148,$B:$B,B148,$C:$C,C148)&gt;1,"DUPLICATE COLOUR + SIZE","OK"))))))</f>
        <v/>
      </c>
    </row>
    <row r="149">
      <c r="A149" s="9" t="n"/>
      <c r="B149" s="9" t="n"/>
      <c r="C149" s="9" t="n"/>
      <c r="D149" s="9" t="n"/>
      <c r="E149" s="11" t="n"/>
      <c r="F149" s="13" t="n"/>
      <c r="G149" s="11" t="n"/>
      <c r="H149" s="13" t="n"/>
      <c r="I149" s="14">
        <f>IF(A149="","",IF(F149&lt;&gt;"",F149,IFERROR(INDEX(Products!$C:$C,MATCH(A149,Products!$A:$A,0)),"")))</f>
        <v/>
      </c>
      <c r="J149" s="14">
        <f>IF(OR(I149="",H149=""),"",I149-H149)</f>
        <v/>
      </c>
      <c r="K149" s="12">
        <f>IF(A149="","",IF(ISNA(MATCH(A149,Products!$A:$A,0)),"NAME NOT IN PRODUCTS",IF(D149="","ADD STORE SKU",IF(LEFT(D149,2)&lt;&gt;"v-","CHECK: STORE SKU STARTS WITH v-",IF(COUNTIF($D:$D,D149)&gt;1,"DUPLICATE STORE SKU",IF(COUNTIFS($A:$A,A149,$B:$B,B149,$C:$C,C149)&gt;1,"DUPLICATE COLOUR + SIZE","OK"))))))</f>
        <v/>
      </c>
    </row>
    <row r="150">
      <c r="A150" s="9" t="n"/>
      <c r="B150" s="9" t="n"/>
      <c r="C150" s="9" t="n"/>
      <c r="D150" s="9" t="n"/>
      <c r="E150" s="11" t="n"/>
      <c r="F150" s="13" t="n"/>
      <c r="G150" s="11" t="n"/>
      <c r="H150" s="13" t="n"/>
      <c r="I150" s="14">
        <f>IF(A150="","",IF(F150&lt;&gt;"",F150,IFERROR(INDEX(Products!$C:$C,MATCH(A150,Products!$A:$A,0)),"")))</f>
        <v/>
      </c>
      <c r="J150" s="14">
        <f>IF(OR(I150="",H150=""),"",I150-H150)</f>
        <v/>
      </c>
      <c r="K150" s="12">
        <f>IF(A150="","",IF(ISNA(MATCH(A150,Products!$A:$A,0)),"NAME NOT IN PRODUCTS",IF(D150="","ADD STORE SKU",IF(LEFT(D150,2)&lt;&gt;"v-","CHECK: STORE SKU STARTS WITH v-",IF(COUNTIF($D:$D,D150)&gt;1,"DUPLICATE STORE SKU",IF(COUNTIFS($A:$A,A150,$B:$B,B150,$C:$C,C150)&gt;1,"DUPLICATE COLOUR + SIZE","OK"))))))</f>
        <v/>
      </c>
    </row>
    <row r="151">
      <c r="A151" s="9" t="n"/>
      <c r="B151" s="9" t="n"/>
      <c r="C151" s="9" t="n"/>
      <c r="D151" s="9" t="n"/>
      <c r="E151" s="11" t="n"/>
      <c r="F151" s="13" t="n"/>
      <c r="G151" s="11" t="n"/>
      <c r="H151" s="13" t="n"/>
      <c r="I151" s="14">
        <f>IF(A151="","",IF(F151&lt;&gt;"",F151,IFERROR(INDEX(Products!$C:$C,MATCH(A151,Products!$A:$A,0)),"")))</f>
        <v/>
      </c>
      <c r="J151" s="14">
        <f>IF(OR(I151="",H151=""),"",I151-H151)</f>
        <v/>
      </c>
      <c r="K151" s="12">
        <f>IF(A151="","",IF(ISNA(MATCH(A151,Products!$A:$A,0)),"NAME NOT IN PRODUCTS",IF(D151="","ADD STORE SKU",IF(LEFT(D151,2)&lt;&gt;"v-","CHECK: STORE SKU STARTS WITH v-",IF(COUNTIF($D:$D,D151)&gt;1,"DUPLICATE STORE SKU",IF(COUNTIFS($A:$A,A151,$B:$B,B151,$C:$C,C151)&gt;1,"DUPLICATE COLOUR + SIZE","OK"))))))</f>
        <v/>
      </c>
    </row>
    <row r="152">
      <c r="A152" s="9" t="n"/>
      <c r="B152" s="9" t="n"/>
      <c r="C152" s="9" t="n"/>
      <c r="D152" s="9" t="n"/>
      <c r="E152" s="11" t="n"/>
      <c r="F152" s="13" t="n"/>
      <c r="G152" s="11" t="n"/>
      <c r="H152" s="13" t="n"/>
      <c r="I152" s="14">
        <f>IF(A152="","",IF(F152&lt;&gt;"",F152,IFERROR(INDEX(Products!$C:$C,MATCH(A152,Products!$A:$A,0)),"")))</f>
        <v/>
      </c>
      <c r="J152" s="14">
        <f>IF(OR(I152="",H152=""),"",I152-H152)</f>
        <v/>
      </c>
      <c r="K152" s="12">
        <f>IF(A152="","",IF(ISNA(MATCH(A152,Products!$A:$A,0)),"NAME NOT IN PRODUCTS",IF(D152="","ADD STORE SKU",IF(LEFT(D152,2)&lt;&gt;"v-","CHECK: STORE SKU STARTS WITH v-",IF(COUNTIF($D:$D,D152)&gt;1,"DUPLICATE STORE SKU",IF(COUNTIFS($A:$A,A152,$B:$B,B152,$C:$C,C152)&gt;1,"DUPLICATE COLOUR + SIZE","OK"))))))</f>
        <v/>
      </c>
    </row>
    <row r="153">
      <c r="A153" s="9" t="n"/>
      <c r="B153" s="9" t="n"/>
      <c r="C153" s="9" t="n"/>
      <c r="D153" s="9" t="n"/>
      <c r="E153" s="11" t="n"/>
      <c r="F153" s="13" t="n"/>
      <c r="G153" s="11" t="n"/>
      <c r="H153" s="13" t="n"/>
      <c r="I153" s="14">
        <f>IF(A153="","",IF(F153&lt;&gt;"",F153,IFERROR(INDEX(Products!$C:$C,MATCH(A153,Products!$A:$A,0)),"")))</f>
        <v/>
      </c>
      <c r="J153" s="14">
        <f>IF(OR(I153="",H153=""),"",I153-H153)</f>
        <v/>
      </c>
      <c r="K153" s="12">
        <f>IF(A153="","",IF(ISNA(MATCH(A153,Products!$A:$A,0)),"NAME NOT IN PRODUCTS",IF(D153="","ADD STORE SKU",IF(LEFT(D153,2)&lt;&gt;"v-","CHECK: STORE SKU STARTS WITH v-",IF(COUNTIF($D:$D,D153)&gt;1,"DUPLICATE STORE SKU",IF(COUNTIFS($A:$A,A153,$B:$B,B153,$C:$C,C153)&gt;1,"DUPLICATE COLOUR + SIZE","OK"))))))</f>
        <v/>
      </c>
    </row>
    <row r="154">
      <c r="A154" s="9" t="n"/>
      <c r="B154" s="9" t="n"/>
      <c r="C154" s="9" t="n"/>
      <c r="D154" s="9" t="n"/>
      <c r="E154" s="11" t="n"/>
      <c r="F154" s="13" t="n"/>
      <c r="G154" s="11" t="n"/>
      <c r="H154" s="13" t="n"/>
      <c r="I154" s="14">
        <f>IF(A154="","",IF(F154&lt;&gt;"",F154,IFERROR(INDEX(Products!$C:$C,MATCH(A154,Products!$A:$A,0)),"")))</f>
        <v/>
      </c>
      <c r="J154" s="14">
        <f>IF(OR(I154="",H154=""),"",I154-H154)</f>
        <v/>
      </c>
      <c r="K154" s="12">
        <f>IF(A154="","",IF(ISNA(MATCH(A154,Products!$A:$A,0)),"NAME NOT IN PRODUCTS",IF(D154="","ADD STORE SKU",IF(LEFT(D154,2)&lt;&gt;"v-","CHECK: STORE SKU STARTS WITH v-",IF(COUNTIF($D:$D,D154)&gt;1,"DUPLICATE STORE SKU",IF(COUNTIFS($A:$A,A154,$B:$B,B154,$C:$C,C154)&gt;1,"DUPLICATE COLOUR + SIZE","OK"))))))</f>
        <v/>
      </c>
    </row>
    <row r="155">
      <c r="A155" s="9" t="n"/>
      <c r="B155" s="9" t="n"/>
      <c r="C155" s="9" t="n"/>
      <c r="D155" s="9" t="n"/>
      <c r="E155" s="11" t="n"/>
      <c r="F155" s="13" t="n"/>
      <c r="G155" s="11" t="n"/>
      <c r="H155" s="13" t="n"/>
      <c r="I155" s="14">
        <f>IF(A155="","",IF(F155&lt;&gt;"",F155,IFERROR(INDEX(Products!$C:$C,MATCH(A155,Products!$A:$A,0)),"")))</f>
        <v/>
      </c>
      <c r="J155" s="14">
        <f>IF(OR(I155="",H155=""),"",I155-H155)</f>
        <v/>
      </c>
      <c r="K155" s="12">
        <f>IF(A155="","",IF(ISNA(MATCH(A155,Products!$A:$A,0)),"NAME NOT IN PRODUCTS",IF(D155="","ADD STORE SKU",IF(LEFT(D155,2)&lt;&gt;"v-","CHECK: STORE SKU STARTS WITH v-",IF(COUNTIF($D:$D,D155)&gt;1,"DUPLICATE STORE SKU",IF(COUNTIFS($A:$A,A155,$B:$B,B155,$C:$C,C155)&gt;1,"DUPLICATE COLOUR + SIZE","OK"))))))</f>
        <v/>
      </c>
    </row>
    <row r="156">
      <c r="A156" s="9" t="n"/>
      <c r="B156" s="9" t="n"/>
      <c r="C156" s="9" t="n"/>
      <c r="D156" s="9" t="n"/>
      <c r="E156" s="11" t="n"/>
      <c r="F156" s="13" t="n"/>
      <c r="G156" s="11" t="n"/>
      <c r="H156" s="13" t="n"/>
      <c r="I156" s="14">
        <f>IF(A156="","",IF(F156&lt;&gt;"",F156,IFERROR(INDEX(Products!$C:$C,MATCH(A156,Products!$A:$A,0)),"")))</f>
        <v/>
      </c>
      <c r="J156" s="14">
        <f>IF(OR(I156="",H156=""),"",I156-H156)</f>
        <v/>
      </c>
      <c r="K156" s="12">
        <f>IF(A156="","",IF(ISNA(MATCH(A156,Products!$A:$A,0)),"NAME NOT IN PRODUCTS",IF(D156="","ADD STORE SKU",IF(LEFT(D156,2)&lt;&gt;"v-","CHECK: STORE SKU STARTS WITH v-",IF(COUNTIF($D:$D,D156)&gt;1,"DUPLICATE STORE SKU",IF(COUNTIFS($A:$A,A156,$B:$B,B156,$C:$C,C156)&gt;1,"DUPLICATE COLOUR + SIZE","OK"))))))</f>
        <v/>
      </c>
    </row>
    <row r="157">
      <c r="A157" s="9" t="n"/>
      <c r="B157" s="9" t="n"/>
      <c r="C157" s="9" t="n"/>
      <c r="D157" s="9" t="n"/>
      <c r="E157" s="11" t="n"/>
      <c r="F157" s="13" t="n"/>
      <c r="G157" s="11" t="n"/>
      <c r="H157" s="13" t="n"/>
      <c r="I157" s="14">
        <f>IF(A157="","",IF(F157&lt;&gt;"",F157,IFERROR(INDEX(Products!$C:$C,MATCH(A157,Products!$A:$A,0)),"")))</f>
        <v/>
      </c>
      <c r="J157" s="14">
        <f>IF(OR(I157="",H157=""),"",I157-H157)</f>
        <v/>
      </c>
      <c r="K157" s="12">
        <f>IF(A157="","",IF(ISNA(MATCH(A157,Products!$A:$A,0)),"NAME NOT IN PRODUCTS",IF(D157="","ADD STORE SKU",IF(LEFT(D157,2)&lt;&gt;"v-","CHECK: STORE SKU STARTS WITH v-",IF(COUNTIF($D:$D,D157)&gt;1,"DUPLICATE STORE SKU",IF(COUNTIFS($A:$A,A157,$B:$B,B157,$C:$C,C157)&gt;1,"DUPLICATE COLOUR + SIZE","OK"))))))</f>
        <v/>
      </c>
    </row>
    <row r="158">
      <c r="A158" s="9" t="n"/>
      <c r="B158" s="9" t="n"/>
      <c r="C158" s="9" t="n"/>
      <c r="D158" s="9" t="n"/>
      <c r="E158" s="11" t="n"/>
      <c r="F158" s="13" t="n"/>
      <c r="G158" s="11" t="n"/>
      <c r="H158" s="13" t="n"/>
      <c r="I158" s="14">
        <f>IF(A158="","",IF(F158&lt;&gt;"",F158,IFERROR(INDEX(Products!$C:$C,MATCH(A158,Products!$A:$A,0)),"")))</f>
        <v/>
      </c>
      <c r="J158" s="14">
        <f>IF(OR(I158="",H158=""),"",I158-H158)</f>
        <v/>
      </c>
      <c r="K158" s="12">
        <f>IF(A158="","",IF(ISNA(MATCH(A158,Products!$A:$A,0)),"NAME NOT IN PRODUCTS",IF(D158="","ADD STORE SKU",IF(LEFT(D158,2)&lt;&gt;"v-","CHECK: STORE SKU STARTS WITH v-",IF(COUNTIF($D:$D,D158)&gt;1,"DUPLICATE STORE SKU",IF(COUNTIFS($A:$A,A158,$B:$B,B158,$C:$C,C158)&gt;1,"DUPLICATE COLOUR + SIZE","OK"))))))</f>
        <v/>
      </c>
    </row>
    <row r="159">
      <c r="A159" s="9" t="n"/>
      <c r="B159" s="9" t="n"/>
      <c r="C159" s="9" t="n"/>
      <c r="D159" s="9" t="n"/>
      <c r="E159" s="11" t="n"/>
      <c r="F159" s="13" t="n"/>
      <c r="G159" s="11" t="n"/>
      <c r="H159" s="13" t="n"/>
      <c r="I159" s="14">
        <f>IF(A159="","",IF(F159&lt;&gt;"",F159,IFERROR(INDEX(Products!$C:$C,MATCH(A159,Products!$A:$A,0)),"")))</f>
        <v/>
      </c>
      <c r="J159" s="14">
        <f>IF(OR(I159="",H159=""),"",I159-H159)</f>
        <v/>
      </c>
      <c r="K159" s="12">
        <f>IF(A159="","",IF(ISNA(MATCH(A159,Products!$A:$A,0)),"NAME NOT IN PRODUCTS",IF(D159="","ADD STORE SKU",IF(LEFT(D159,2)&lt;&gt;"v-","CHECK: STORE SKU STARTS WITH v-",IF(COUNTIF($D:$D,D159)&gt;1,"DUPLICATE STORE SKU",IF(COUNTIFS($A:$A,A159,$B:$B,B159,$C:$C,C159)&gt;1,"DUPLICATE COLOUR + SIZE","OK"))))))</f>
        <v/>
      </c>
    </row>
    <row r="160">
      <c r="A160" s="9" t="n"/>
      <c r="B160" s="9" t="n"/>
      <c r="C160" s="9" t="n"/>
      <c r="D160" s="9" t="n"/>
      <c r="E160" s="11" t="n"/>
      <c r="F160" s="13" t="n"/>
      <c r="G160" s="11" t="n"/>
      <c r="H160" s="13" t="n"/>
      <c r="I160" s="14">
        <f>IF(A160="","",IF(F160&lt;&gt;"",F160,IFERROR(INDEX(Products!$C:$C,MATCH(A160,Products!$A:$A,0)),"")))</f>
        <v/>
      </c>
      <c r="J160" s="14">
        <f>IF(OR(I160="",H160=""),"",I160-H160)</f>
        <v/>
      </c>
      <c r="K160" s="12">
        <f>IF(A160="","",IF(ISNA(MATCH(A160,Products!$A:$A,0)),"NAME NOT IN PRODUCTS",IF(D160="","ADD STORE SKU",IF(LEFT(D160,2)&lt;&gt;"v-","CHECK: STORE SKU STARTS WITH v-",IF(COUNTIF($D:$D,D160)&gt;1,"DUPLICATE STORE SKU",IF(COUNTIFS($A:$A,A160,$B:$B,B160,$C:$C,C160)&gt;1,"DUPLICATE COLOUR + SIZE","OK"))))))</f>
        <v/>
      </c>
    </row>
    <row r="161">
      <c r="A161" s="9" t="n"/>
      <c r="B161" s="9" t="n"/>
      <c r="C161" s="9" t="n"/>
      <c r="D161" s="9" t="n"/>
      <c r="E161" s="11" t="n"/>
      <c r="F161" s="13" t="n"/>
      <c r="G161" s="11" t="n"/>
      <c r="H161" s="13" t="n"/>
      <c r="I161" s="14">
        <f>IF(A161="","",IF(F161&lt;&gt;"",F161,IFERROR(INDEX(Products!$C:$C,MATCH(A161,Products!$A:$A,0)),"")))</f>
        <v/>
      </c>
      <c r="J161" s="14">
        <f>IF(OR(I161="",H161=""),"",I161-H161)</f>
        <v/>
      </c>
      <c r="K161" s="12">
        <f>IF(A161="","",IF(ISNA(MATCH(A161,Products!$A:$A,0)),"NAME NOT IN PRODUCTS",IF(D161="","ADD STORE SKU",IF(LEFT(D161,2)&lt;&gt;"v-","CHECK: STORE SKU STARTS WITH v-",IF(COUNTIF($D:$D,D161)&gt;1,"DUPLICATE STORE SKU",IF(COUNTIFS($A:$A,A161,$B:$B,B161,$C:$C,C161)&gt;1,"DUPLICATE COLOUR + SIZE","OK"))))))</f>
        <v/>
      </c>
    </row>
    <row r="162">
      <c r="A162" s="9" t="n"/>
      <c r="B162" s="9" t="n"/>
      <c r="C162" s="9" t="n"/>
      <c r="D162" s="9" t="n"/>
      <c r="E162" s="11" t="n"/>
      <c r="F162" s="13" t="n"/>
      <c r="G162" s="11" t="n"/>
      <c r="H162" s="13" t="n"/>
      <c r="I162" s="14">
        <f>IF(A162="","",IF(F162&lt;&gt;"",F162,IFERROR(INDEX(Products!$C:$C,MATCH(A162,Products!$A:$A,0)),"")))</f>
        <v/>
      </c>
      <c r="J162" s="14">
        <f>IF(OR(I162="",H162=""),"",I162-H162)</f>
        <v/>
      </c>
      <c r="K162" s="12">
        <f>IF(A162="","",IF(ISNA(MATCH(A162,Products!$A:$A,0)),"NAME NOT IN PRODUCTS",IF(D162="","ADD STORE SKU",IF(LEFT(D162,2)&lt;&gt;"v-","CHECK: STORE SKU STARTS WITH v-",IF(COUNTIF($D:$D,D162)&gt;1,"DUPLICATE STORE SKU",IF(COUNTIFS($A:$A,A162,$B:$B,B162,$C:$C,C162)&gt;1,"DUPLICATE COLOUR + SIZE","OK"))))))</f>
        <v/>
      </c>
    </row>
    <row r="163">
      <c r="A163" s="9" t="n"/>
      <c r="B163" s="9" t="n"/>
      <c r="C163" s="9" t="n"/>
      <c r="D163" s="9" t="n"/>
      <c r="E163" s="11" t="n"/>
      <c r="F163" s="13" t="n"/>
      <c r="G163" s="11" t="n"/>
      <c r="H163" s="13" t="n"/>
      <c r="I163" s="14">
        <f>IF(A163="","",IF(F163&lt;&gt;"",F163,IFERROR(INDEX(Products!$C:$C,MATCH(A163,Products!$A:$A,0)),"")))</f>
        <v/>
      </c>
      <c r="J163" s="14">
        <f>IF(OR(I163="",H163=""),"",I163-H163)</f>
        <v/>
      </c>
      <c r="K163" s="12">
        <f>IF(A163="","",IF(ISNA(MATCH(A163,Products!$A:$A,0)),"NAME NOT IN PRODUCTS",IF(D163="","ADD STORE SKU",IF(LEFT(D163,2)&lt;&gt;"v-","CHECK: STORE SKU STARTS WITH v-",IF(COUNTIF($D:$D,D163)&gt;1,"DUPLICATE STORE SKU",IF(COUNTIFS($A:$A,A163,$B:$B,B163,$C:$C,C163)&gt;1,"DUPLICATE COLOUR + SIZE","OK"))))))</f>
        <v/>
      </c>
    </row>
    <row r="164">
      <c r="A164" s="9" t="n"/>
      <c r="B164" s="9" t="n"/>
      <c r="C164" s="9" t="n"/>
      <c r="D164" s="9" t="n"/>
      <c r="E164" s="11" t="n"/>
      <c r="F164" s="13" t="n"/>
      <c r="G164" s="11" t="n"/>
      <c r="H164" s="13" t="n"/>
      <c r="I164" s="14">
        <f>IF(A164="","",IF(F164&lt;&gt;"",F164,IFERROR(INDEX(Products!$C:$C,MATCH(A164,Products!$A:$A,0)),"")))</f>
        <v/>
      </c>
      <c r="J164" s="14">
        <f>IF(OR(I164="",H164=""),"",I164-H164)</f>
        <v/>
      </c>
      <c r="K164" s="12">
        <f>IF(A164="","",IF(ISNA(MATCH(A164,Products!$A:$A,0)),"NAME NOT IN PRODUCTS",IF(D164="","ADD STORE SKU",IF(LEFT(D164,2)&lt;&gt;"v-","CHECK: STORE SKU STARTS WITH v-",IF(COUNTIF($D:$D,D164)&gt;1,"DUPLICATE STORE SKU",IF(COUNTIFS($A:$A,A164,$B:$B,B164,$C:$C,C164)&gt;1,"DUPLICATE COLOUR + SIZE","OK"))))))</f>
        <v/>
      </c>
    </row>
    <row r="165">
      <c r="A165" s="9" t="n"/>
      <c r="B165" s="9" t="n"/>
      <c r="C165" s="9" t="n"/>
      <c r="D165" s="9" t="n"/>
      <c r="E165" s="11" t="n"/>
      <c r="F165" s="13" t="n"/>
      <c r="G165" s="11" t="n"/>
      <c r="H165" s="13" t="n"/>
      <c r="I165" s="14">
        <f>IF(A165="","",IF(F165&lt;&gt;"",F165,IFERROR(INDEX(Products!$C:$C,MATCH(A165,Products!$A:$A,0)),"")))</f>
        <v/>
      </c>
      <c r="J165" s="14">
        <f>IF(OR(I165="",H165=""),"",I165-H165)</f>
        <v/>
      </c>
      <c r="K165" s="12">
        <f>IF(A165="","",IF(ISNA(MATCH(A165,Products!$A:$A,0)),"NAME NOT IN PRODUCTS",IF(D165="","ADD STORE SKU",IF(LEFT(D165,2)&lt;&gt;"v-","CHECK: STORE SKU STARTS WITH v-",IF(COUNTIF($D:$D,D165)&gt;1,"DUPLICATE STORE SKU",IF(COUNTIFS($A:$A,A165,$B:$B,B165,$C:$C,C165)&gt;1,"DUPLICATE COLOUR + SIZE","OK"))))))</f>
        <v/>
      </c>
    </row>
    <row r="166">
      <c r="A166" s="9" t="n"/>
      <c r="B166" s="9" t="n"/>
      <c r="C166" s="9" t="n"/>
      <c r="D166" s="9" t="n"/>
      <c r="E166" s="11" t="n"/>
      <c r="F166" s="13" t="n"/>
      <c r="G166" s="11" t="n"/>
      <c r="H166" s="13" t="n"/>
      <c r="I166" s="14">
        <f>IF(A166="","",IF(F166&lt;&gt;"",F166,IFERROR(INDEX(Products!$C:$C,MATCH(A166,Products!$A:$A,0)),"")))</f>
        <v/>
      </c>
      <c r="J166" s="14">
        <f>IF(OR(I166="",H166=""),"",I166-H166)</f>
        <v/>
      </c>
      <c r="K166" s="12">
        <f>IF(A166="","",IF(ISNA(MATCH(A166,Products!$A:$A,0)),"NAME NOT IN PRODUCTS",IF(D166="","ADD STORE SKU",IF(LEFT(D166,2)&lt;&gt;"v-","CHECK: STORE SKU STARTS WITH v-",IF(COUNTIF($D:$D,D166)&gt;1,"DUPLICATE STORE SKU",IF(COUNTIFS($A:$A,A166,$B:$B,B166,$C:$C,C166)&gt;1,"DUPLICATE COLOUR + SIZE","OK"))))))</f>
        <v/>
      </c>
    </row>
    <row r="167">
      <c r="A167" s="9" t="n"/>
      <c r="B167" s="9" t="n"/>
      <c r="C167" s="9" t="n"/>
      <c r="D167" s="9" t="n"/>
      <c r="E167" s="11" t="n"/>
      <c r="F167" s="13" t="n"/>
      <c r="G167" s="11" t="n"/>
      <c r="H167" s="13" t="n"/>
      <c r="I167" s="14">
        <f>IF(A167="","",IF(F167&lt;&gt;"",F167,IFERROR(INDEX(Products!$C:$C,MATCH(A167,Products!$A:$A,0)),"")))</f>
        <v/>
      </c>
      <c r="J167" s="14">
        <f>IF(OR(I167="",H167=""),"",I167-H167)</f>
        <v/>
      </c>
      <c r="K167" s="12">
        <f>IF(A167="","",IF(ISNA(MATCH(A167,Products!$A:$A,0)),"NAME NOT IN PRODUCTS",IF(D167="","ADD STORE SKU",IF(LEFT(D167,2)&lt;&gt;"v-","CHECK: STORE SKU STARTS WITH v-",IF(COUNTIF($D:$D,D167)&gt;1,"DUPLICATE STORE SKU",IF(COUNTIFS($A:$A,A167,$B:$B,B167,$C:$C,C167)&gt;1,"DUPLICATE COLOUR + SIZE","OK"))))))</f>
        <v/>
      </c>
    </row>
    <row r="168">
      <c r="A168" s="9" t="n"/>
      <c r="B168" s="9" t="n"/>
      <c r="C168" s="9" t="n"/>
      <c r="D168" s="9" t="n"/>
      <c r="E168" s="11" t="n"/>
      <c r="F168" s="13" t="n"/>
      <c r="G168" s="11" t="n"/>
      <c r="H168" s="13" t="n"/>
      <c r="I168" s="14">
        <f>IF(A168="","",IF(F168&lt;&gt;"",F168,IFERROR(INDEX(Products!$C:$C,MATCH(A168,Products!$A:$A,0)),"")))</f>
        <v/>
      </c>
      <c r="J168" s="14">
        <f>IF(OR(I168="",H168=""),"",I168-H168)</f>
        <v/>
      </c>
      <c r="K168" s="12">
        <f>IF(A168="","",IF(ISNA(MATCH(A168,Products!$A:$A,0)),"NAME NOT IN PRODUCTS",IF(D168="","ADD STORE SKU",IF(LEFT(D168,2)&lt;&gt;"v-","CHECK: STORE SKU STARTS WITH v-",IF(COUNTIF($D:$D,D168)&gt;1,"DUPLICATE STORE SKU",IF(COUNTIFS($A:$A,A168,$B:$B,B168,$C:$C,C168)&gt;1,"DUPLICATE COLOUR + SIZE","OK"))))))</f>
        <v/>
      </c>
    </row>
    <row r="169">
      <c r="A169" s="9" t="n"/>
      <c r="B169" s="9" t="n"/>
      <c r="C169" s="9" t="n"/>
      <c r="D169" s="9" t="n"/>
      <c r="E169" s="11" t="n"/>
      <c r="F169" s="13" t="n"/>
      <c r="G169" s="11" t="n"/>
      <c r="H169" s="13" t="n"/>
      <c r="I169" s="14">
        <f>IF(A169="","",IF(F169&lt;&gt;"",F169,IFERROR(INDEX(Products!$C:$C,MATCH(A169,Products!$A:$A,0)),"")))</f>
        <v/>
      </c>
      <c r="J169" s="14">
        <f>IF(OR(I169="",H169=""),"",I169-H169)</f>
        <v/>
      </c>
      <c r="K169" s="12">
        <f>IF(A169="","",IF(ISNA(MATCH(A169,Products!$A:$A,0)),"NAME NOT IN PRODUCTS",IF(D169="","ADD STORE SKU",IF(LEFT(D169,2)&lt;&gt;"v-","CHECK: STORE SKU STARTS WITH v-",IF(COUNTIF($D:$D,D169)&gt;1,"DUPLICATE STORE SKU",IF(COUNTIFS($A:$A,A169,$B:$B,B169,$C:$C,C169)&gt;1,"DUPLICATE COLOUR + SIZE","OK"))))))</f>
        <v/>
      </c>
    </row>
    <row r="170">
      <c r="A170" s="9" t="n"/>
      <c r="B170" s="9" t="n"/>
      <c r="C170" s="9" t="n"/>
      <c r="D170" s="9" t="n"/>
      <c r="E170" s="11" t="n"/>
      <c r="F170" s="13" t="n"/>
      <c r="G170" s="11" t="n"/>
      <c r="H170" s="13" t="n"/>
      <c r="I170" s="14">
        <f>IF(A170="","",IF(F170&lt;&gt;"",F170,IFERROR(INDEX(Products!$C:$C,MATCH(A170,Products!$A:$A,0)),"")))</f>
        <v/>
      </c>
      <c r="J170" s="14">
        <f>IF(OR(I170="",H170=""),"",I170-H170)</f>
        <v/>
      </c>
      <c r="K170" s="12">
        <f>IF(A170="","",IF(ISNA(MATCH(A170,Products!$A:$A,0)),"NAME NOT IN PRODUCTS",IF(D170="","ADD STORE SKU",IF(LEFT(D170,2)&lt;&gt;"v-","CHECK: STORE SKU STARTS WITH v-",IF(COUNTIF($D:$D,D170)&gt;1,"DUPLICATE STORE SKU",IF(COUNTIFS($A:$A,A170,$B:$B,B170,$C:$C,C170)&gt;1,"DUPLICATE COLOUR + SIZE","OK"))))))</f>
        <v/>
      </c>
    </row>
    <row r="171">
      <c r="A171" s="9" t="n"/>
      <c r="B171" s="9" t="n"/>
      <c r="C171" s="9" t="n"/>
      <c r="D171" s="9" t="n"/>
      <c r="E171" s="11" t="n"/>
      <c r="F171" s="13" t="n"/>
      <c r="G171" s="11" t="n"/>
      <c r="H171" s="13" t="n"/>
      <c r="I171" s="14">
        <f>IF(A171="","",IF(F171&lt;&gt;"",F171,IFERROR(INDEX(Products!$C:$C,MATCH(A171,Products!$A:$A,0)),"")))</f>
        <v/>
      </c>
      <c r="J171" s="14">
        <f>IF(OR(I171="",H171=""),"",I171-H171)</f>
        <v/>
      </c>
      <c r="K171" s="12">
        <f>IF(A171="","",IF(ISNA(MATCH(A171,Products!$A:$A,0)),"NAME NOT IN PRODUCTS",IF(D171="","ADD STORE SKU",IF(LEFT(D171,2)&lt;&gt;"v-","CHECK: STORE SKU STARTS WITH v-",IF(COUNTIF($D:$D,D171)&gt;1,"DUPLICATE STORE SKU",IF(COUNTIFS($A:$A,A171,$B:$B,B171,$C:$C,C171)&gt;1,"DUPLICATE COLOUR + SIZE","OK"))))))</f>
        <v/>
      </c>
    </row>
    <row r="172">
      <c r="A172" s="9" t="n"/>
      <c r="B172" s="9" t="n"/>
      <c r="C172" s="9" t="n"/>
      <c r="D172" s="9" t="n"/>
      <c r="E172" s="11" t="n"/>
      <c r="F172" s="13" t="n"/>
      <c r="G172" s="11" t="n"/>
      <c r="H172" s="13" t="n"/>
      <c r="I172" s="14">
        <f>IF(A172="","",IF(F172&lt;&gt;"",F172,IFERROR(INDEX(Products!$C:$C,MATCH(A172,Products!$A:$A,0)),"")))</f>
        <v/>
      </c>
      <c r="J172" s="14">
        <f>IF(OR(I172="",H172=""),"",I172-H172)</f>
        <v/>
      </c>
      <c r="K172" s="12">
        <f>IF(A172="","",IF(ISNA(MATCH(A172,Products!$A:$A,0)),"NAME NOT IN PRODUCTS",IF(D172="","ADD STORE SKU",IF(LEFT(D172,2)&lt;&gt;"v-","CHECK: STORE SKU STARTS WITH v-",IF(COUNTIF($D:$D,D172)&gt;1,"DUPLICATE STORE SKU",IF(COUNTIFS($A:$A,A172,$B:$B,B172,$C:$C,C172)&gt;1,"DUPLICATE COLOUR + SIZE","OK"))))))</f>
        <v/>
      </c>
    </row>
    <row r="173">
      <c r="A173" s="9" t="n"/>
      <c r="B173" s="9" t="n"/>
      <c r="C173" s="9" t="n"/>
      <c r="D173" s="9" t="n"/>
      <c r="E173" s="11" t="n"/>
      <c r="F173" s="13" t="n"/>
      <c r="G173" s="11" t="n"/>
      <c r="H173" s="13" t="n"/>
      <c r="I173" s="14">
        <f>IF(A173="","",IF(F173&lt;&gt;"",F173,IFERROR(INDEX(Products!$C:$C,MATCH(A173,Products!$A:$A,0)),"")))</f>
        <v/>
      </c>
      <c r="J173" s="14">
        <f>IF(OR(I173="",H173=""),"",I173-H173)</f>
        <v/>
      </c>
      <c r="K173" s="12">
        <f>IF(A173="","",IF(ISNA(MATCH(A173,Products!$A:$A,0)),"NAME NOT IN PRODUCTS",IF(D173="","ADD STORE SKU",IF(LEFT(D173,2)&lt;&gt;"v-","CHECK: STORE SKU STARTS WITH v-",IF(COUNTIF($D:$D,D173)&gt;1,"DUPLICATE STORE SKU",IF(COUNTIFS($A:$A,A173,$B:$B,B173,$C:$C,C173)&gt;1,"DUPLICATE COLOUR + SIZE","OK"))))))</f>
        <v/>
      </c>
    </row>
    <row r="174">
      <c r="A174" s="9" t="n"/>
      <c r="B174" s="9" t="n"/>
      <c r="C174" s="9" t="n"/>
      <c r="D174" s="9" t="n"/>
      <c r="E174" s="11" t="n"/>
      <c r="F174" s="13" t="n"/>
      <c r="G174" s="11" t="n"/>
      <c r="H174" s="13" t="n"/>
      <c r="I174" s="14">
        <f>IF(A174="","",IF(F174&lt;&gt;"",F174,IFERROR(INDEX(Products!$C:$C,MATCH(A174,Products!$A:$A,0)),"")))</f>
        <v/>
      </c>
      <c r="J174" s="14">
        <f>IF(OR(I174="",H174=""),"",I174-H174)</f>
        <v/>
      </c>
      <c r="K174" s="12">
        <f>IF(A174="","",IF(ISNA(MATCH(A174,Products!$A:$A,0)),"NAME NOT IN PRODUCTS",IF(D174="","ADD STORE SKU",IF(LEFT(D174,2)&lt;&gt;"v-","CHECK: STORE SKU STARTS WITH v-",IF(COUNTIF($D:$D,D174)&gt;1,"DUPLICATE STORE SKU",IF(COUNTIFS($A:$A,A174,$B:$B,B174,$C:$C,C174)&gt;1,"DUPLICATE COLOUR + SIZE","OK"))))))</f>
        <v/>
      </c>
    </row>
    <row r="175">
      <c r="A175" s="9" t="n"/>
      <c r="B175" s="9" t="n"/>
      <c r="C175" s="9" t="n"/>
      <c r="D175" s="9" t="n"/>
      <c r="E175" s="11" t="n"/>
      <c r="F175" s="13" t="n"/>
      <c r="G175" s="11" t="n"/>
      <c r="H175" s="13" t="n"/>
      <c r="I175" s="14">
        <f>IF(A175="","",IF(F175&lt;&gt;"",F175,IFERROR(INDEX(Products!$C:$C,MATCH(A175,Products!$A:$A,0)),"")))</f>
        <v/>
      </c>
      <c r="J175" s="14">
        <f>IF(OR(I175="",H175=""),"",I175-H175)</f>
        <v/>
      </c>
      <c r="K175" s="12">
        <f>IF(A175="","",IF(ISNA(MATCH(A175,Products!$A:$A,0)),"NAME NOT IN PRODUCTS",IF(D175="","ADD STORE SKU",IF(LEFT(D175,2)&lt;&gt;"v-","CHECK: STORE SKU STARTS WITH v-",IF(COUNTIF($D:$D,D175)&gt;1,"DUPLICATE STORE SKU",IF(COUNTIFS($A:$A,A175,$B:$B,B175,$C:$C,C175)&gt;1,"DUPLICATE COLOUR + SIZE","OK"))))))</f>
        <v/>
      </c>
    </row>
    <row r="176">
      <c r="A176" s="9" t="n"/>
      <c r="B176" s="9" t="n"/>
      <c r="C176" s="9" t="n"/>
      <c r="D176" s="9" t="n"/>
      <c r="E176" s="11" t="n"/>
      <c r="F176" s="13" t="n"/>
      <c r="G176" s="11" t="n"/>
      <c r="H176" s="13" t="n"/>
      <c r="I176" s="14">
        <f>IF(A176="","",IF(F176&lt;&gt;"",F176,IFERROR(INDEX(Products!$C:$C,MATCH(A176,Products!$A:$A,0)),"")))</f>
        <v/>
      </c>
      <c r="J176" s="14">
        <f>IF(OR(I176="",H176=""),"",I176-H176)</f>
        <v/>
      </c>
      <c r="K176" s="12">
        <f>IF(A176="","",IF(ISNA(MATCH(A176,Products!$A:$A,0)),"NAME NOT IN PRODUCTS",IF(D176="","ADD STORE SKU",IF(LEFT(D176,2)&lt;&gt;"v-","CHECK: STORE SKU STARTS WITH v-",IF(COUNTIF($D:$D,D176)&gt;1,"DUPLICATE STORE SKU",IF(COUNTIFS($A:$A,A176,$B:$B,B176,$C:$C,C176)&gt;1,"DUPLICATE COLOUR + SIZE","OK"))))))</f>
        <v/>
      </c>
    </row>
    <row r="177">
      <c r="A177" s="9" t="n"/>
      <c r="B177" s="9" t="n"/>
      <c r="C177" s="9" t="n"/>
      <c r="D177" s="9" t="n"/>
      <c r="E177" s="11" t="n"/>
      <c r="F177" s="13" t="n"/>
      <c r="G177" s="11" t="n"/>
      <c r="H177" s="13" t="n"/>
      <c r="I177" s="14">
        <f>IF(A177="","",IF(F177&lt;&gt;"",F177,IFERROR(INDEX(Products!$C:$C,MATCH(A177,Products!$A:$A,0)),"")))</f>
        <v/>
      </c>
      <c r="J177" s="14">
        <f>IF(OR(I177="",H177=""),"",I177-H177)</f>
        <v/>
      </c>
      <c r="K177" s="12">
        <f>IF(A177="","",IF(ISNA(MATCH(A177,Products!$A:$A,0)),"NAME NOT IN PRODUCTS",IF(D177="","ADD STORE SKU",IF(LEFT(D177,2)&lt;&gt;"v-","CHECK: STORE SKU STARTS WITH v-",IF(COUNTIF($D:$D,D177)&gt;1,"DUPLICATE STORE SKU",IF(COUNTIFS($A:$A,A177,$B:$B,B177,$C:$C,C177)&gt;1,"DUPLICATE COLOUR + SIZE","OK"))))))</f>
        <v/>
      </c>
    </row>
    <row r="178">
      <c r="A178" s="9" t="n"/>
      <c r="B178" s="9" t="n"/>
      <c r="C178" s="9" t="n"/>
      <c r="D178" s="9" t="n"/>
      <c r="E178" s="11" t="n"/>
      <c r="F178" s="13" t="n"/>
      <c r="G178" s="11" t="n"/>
      <c r="H178" s="13" t="n"/>
      <c r="I178" s="14">
        <f>IF(A178="","",IF(F178&lt;&gt;"",F178,IFERROR(INDEX(Products!$C:$C,MATCH(A178,Products!$A:$A,0)),"")))</f>
        <v/>
      </c>
      <c r="J178" s="14">
        <f>IF(OR(I178="",H178=""),"",I178-H178)</f>
        <v/>
      </c>
      <c r="K178" s="12">
        <f>IF(A178="","",IF(ISNA(MATCH(A178,Products!$A:$A,0)),"NAME NOT IN PRODUCTS",IF(D178="","ADD STORE SKU",IF(LEFT(D178,2)&lt;&gt;"v-","CHECK: STORE SKU STARTS WITH v-",IF(COUNTIF($D:$D,D178)&gt;1,"DUPLICATE STORE SKU",IF(COUNTIFS($A:$A,A178,$B:$B,B178,$C:$C,C178)&gt;1,"DUPLICATE COLOUR + SIZE","OK"))))))</f>
        <v/>
      </c>
    </row>
    <row r="179">
      <c r="A179" s="9" t="n"/>
      <c r="B179" s="9" t="n"/>
      <c r="C179" s="9" t="n"/>
      <c r="D179" s="9" t="n"/>
      <c r="E179" s="11" t="n"/>
      <c r="F179" s="13" t="n"/>
      <c r="G179" s="11" t="n"/>
      <c r="H179" s="13" t="n"/>
      <c r="I179" s="14">
        <f>IF(A179="","",IF(F179&lt;&gt;"",F179,IFERROR(INDEX(Products!$C:$C,MATCH(A179,Products!$A:$A,0)),"")))</f>
        <v/>
      </c>
      <c r="J179" s="14">
        <f>IF(OR(I179="",H179=""),"",I179-H179)</f>
        <v/>
      </c>
      <c r="K179" s="12">
        <f>IF(A179="","",IF(ISNA(MATCH(A179,Products!$A:$A,0)),"NAME NOT IN PRODUCTS",IF(D179="","ADD STORE SKU",IF(LEFT(D179,2)&lt;&gt;"v-","CHECK: STORE SKU STARTS WITH v-",IF(COUNTIF($D:$D,D179)&gt;1,"DUPLICATE STORE SKU",IF(COUNTIFS($A:$A,A179,$B:$B,B179,$C:$C,C179)&gt;1,"DUPLICATE COLOUR + SIZE","OK"))))))</f>
        <v/>
      </c>
    </row>
    <row r="180">
      <c r="A180" s="9" t="n"/>
      <c r="B180" s="9" t="n"/>
      <c r="C180" s="9" t="n"/>
      <c r="D180" s="9" t="n"/>
      <c r="E180" s="11" t="n"/>
      <c r="F180" s="13" t="n"/>
      <c r="G180" s="11" t="n"/>
      <c r="H180" s="13" t="n"/>
      <c r="I180" s="14">
        <f>IF(A180="","",IF(F180&lt;&gt;"",F180,IFERROR(INDEX(Products!$C:$C,MATCH(A180,Products!$A:$A,0)),"")))</f>
        <v/>
      </c>
      <c r="J180" s="14">
        <f>IF(OR(I180="",H180=""),"",I180-H180)</f>
        <v/>
      </c>
      <c r="K180" s="12">
        <f>IF(A180="","",IF(ISNA(MATCH(A180,Products!$A:$A,0)),"NAME NOT IN PRODUCTS",IF(D180="","ADD STORE SKU",IF(LEFT(D180,2)&lt;&gt;"v-","CHECK: STORE SKU STARTS WITH v-",IF(COUNTIF($D:$D,D180)&gt;1,"DUPLICATE STORE SKU",IF(COUNTIFS($A:$A,A180,$B:$B,B180,$C:$C,C180)&gt;1,"DUPLICATE COLOUR + SIZE","OK"))))))</f>
        <v/>
      </c>
    </row>
    <row r="181">
      <c r="A181" s="9" t="n"/>
      <c r="B181" s="9" t="n"/>
      <c r="C181" s="9" t="n"/>
      <c r="D181" s="9" t="n"/>
      <c r="E181" s="11" t="n"/>
      <c r="F181" s="13" t="n"/>
      <c r="G181" s="11" t="n"/>
      <c r="H181" s="13" t="n"/>
      <c r="I181" s="14">
        <f>IF(A181="","",IF(F181&lt;&gt;"",F181,IFERROR(INDEX(Products!$C:$C,MATCH(A181,Products!$A:$A,0)),"")))</f>
        <v/>
      </c>
      <c r="J181" s="14">
        <f>IF(OR(I181="",H181=""),"",I181-H181)</f>
        <v/>
      </c>
      <c r="K181" s="12">
        <f>IF(A181="","",IF(ISNA(MATCH(A181,Products!$A:$A,0)),"NAME NOT IN PRODUCTS",IF(D181="","ADD STORE SKU",IF(LEFT(D181,2)&lt;&gt;"v-","CHECK: STORE SKU STARTS WITH v-",IF(COUNTIF($D:$D,D181)&gt;1,"DUPLICATE STORE SKU",IF(COUNTIFS($A:$A,A181,$B:$B,B181,$C:$C,C181)&gt;1,"DUPLICATE COLOUR + SIZE","OK"))))))</f>
        <v/>
      </c>
    </row>
    <row r="182">
      <c r="A182" s="9" t="n"/>
      <c r="B182" s="9" t="n"/>
      <c r="C182" s="9" t="n"/>
      <c r="D182" s="9" t="n"/>
      <c r="E182" s="11" t="n"/>
      <c r="F182" s="13" t="n"/>
      <c r="G182" s="11" t="n"/>
      <c r="H182" s="13" t="n"/>
      <c r="I182" s="14">
        <f>IF(A182="","",IF(F182&lt;&gt;"",F182,IFERROR(INDEX(Products!$C:$C,MATCH(A182,Products!$A:$A,0)),"")))</f>
        <v/>
      </c>
      <c r="J182" s="14">
        <f>IF(OR(I182="",H182=""),"",I182-H182)</f>
        <v/>
      </c>
      <c r="K182" s="12">
        <f>IF(A182="","",IF(ISNA(MATCH(A182,Products!$A:$A,0)),"NAME NOT IN PRODUCTS",IF(D182="","ADD STORE SKU",IF(LEFT(D182,2)&lt;&gt;"v-","CHECK: STORE SKU STARTS WITH v-",IF(COUNTIF($D:$D,D182)&gt;1,"DUPLICATE STORE SKU",IF(COUNTIFS($A:$A,A182,$B:$B,B182,$C:$C,C182)&gt;1,"DUPLICATE COLOUR + SIZE","OK"))))))</f>
        <v/>
      </c>
    </row>
    <row r="183">
      <c r="A183" s="9" t="n"/>
      <c r="B183" s="9" t="n"/>
      <c r="C183" s="9" t="n"/>
      <c r="D183" s="9" t="n"/>
      <c r="E183" s="11" t="n"/>
      <c r="F183" s="13" t="n"/>
      <c r="G183" s="11" t="n"/>
      <c r="H183" s="13" t="n"/>
      <c r="I183" s="14">
        <f>IF(A183="","",IF(F183&lt;&gt;"",F183,IFERROR(INDEX(Products!$C:$C,MATCH(A183,Products!$A:$A,0)),"")))</f>
        <v/>
      </c>
      <c r="J183" s="14">
        <f>IF(OR(I183="",H183=""),"",I183-H183)</f>
        <v/>
      </c>
      <c r="K183" s="12">
        <f>IF(A183="","",IF(ISNA(MATCH(A183,Products!$A:$A,0)),"NAME NOT IN PRODUCTS",IF(D183="","ADD STORE SKU",IF(LEFT(D183,2)&lt;&gt;"v-","CHECK: STORE SKU STARTS WITH v-",IF(COUNTIF($D:$D,D183)&gt;1,"DUPLICATE STORE SKU",IF(COUNTIFS($A:$A,A183,$B:$B,B183,$C:$C,C183)&gt;1,"DUPLICATE COLOUR + SIZE","OK"))))))</f>
        <v/>
      </c>
    </row>
    <row r="184">
      <c r="A184" s="9" t="n"/>
      <c r="B184" s="9" t="n"/>
      <c r="C184" s="9" t="n"/>
      <c r="D184" s="9" t="n"/>
      <c r="E184" s="11" t="n"/>
      <c r="F184" s="13" t="n"/>
      <c r="G184" s="11" t="n"/>
      <c r="H184" s="13" t="n"/>
      <c r="I184" s="14">
        <f>IF(A184="","",IF(F184&lt;&gt;"",F184,IFERROR(INDEX(Products!$C:$C,MATCH(A184,Products!$A:$A,0)),"")))</f>
        <v/>
      </c>
      <c r="J184" s="14">
        <f>IF(OR(I184="",H184=""),"",I184-H184)</f>
        <v/>
      </c>
      <c r="K184" s="12">
        <f>IF(A184="","",IF(ISNA(MATCH(A184,Products!$A:$A,0)),"NAME NOT IN PRODUCTS",IF(D184="","ADD STORE SKU",IF(LEFT(D184,2)&lt;&gt;"v-","CHECK: STORE SKU STARTS WITH v-",IF(COUNTIF($D:$D,D184)&gt;1,"DUPLICATE STORE SKU",IF(COUNTIFS($A:$A,A184,$B:$B,B184,$C:$C,C184)&gt;1,"DUPLICATE COLOUR + SIZE","OK"))))))</f>
        <v/>
      </c>
    </row>
    <row r="185">
      <c r="A185" s="9" t="n"/>
      <c r="B185" s="9" t="n"/>
      <c r="C185" s="9" t="n"/>
      <c r="D185" s="9" t="n"/>
      <c r="E185" s="11" t="n"/>
      <c r="F185" s="13" t="n"/>
      <c r="G185" s="11" t="n"/>
      <c r="H185" s="13" t="n"/>
      <c r="I185" s="14">
        <f>IF(A185="","",IF(F185&lt;&gt;"",F185,IFERROR(INDEX(Products!$C:$C,MATCH(A185,Products!$A:$A,0)),"")))</f>
        <v/>
      </c>
      <c r="J185" s="14">
        <f>IF(OR(I185="",H185=""),"",I185-H185)</f>
        <v/>
      </c>
      <c r="K185" s="12">
        <f>IF(A185="","",IF(ISNA(MATCH(A185,Products!$A:$A,0)),"NAME NOT IN PRODUCTS",IF(D185="","ADD STORE SKU",IF(LEFT(D185,2)&lt;&gt;"v-","CHECK: STORE SKU STARTS WITH v-",IF(COUNTIF($D:$D,D185)&gt;1,"DUPLICATE STORE SKU",IF(COUNTIFS($A:$A,A185,$B:$B,B185,$C:$C,C185)&gt;1,"DUPLICATE COLOUR + SIZE","OK"))))))</f>
        <v/>
      </c>
    </row>
    <row r="186">
      <c r="A186" s="9" t="n"/>
      <c r="B186" s="9" t="n"/>
      <c r="C186" s="9" t="n"/>
      <c r="D186" s="9" t="n"/>
      <c r="E186" s="11" t="n"/>
      <c r="F186" s="13" t="n"/>
      <c r="G186" s="11" t="n"/>
      <c r="H186" s="13" t="n"/>
      <c r="I186" s="14">
        <f>IF(A186="","",IF(F186&lt;&gt;"",F186,IFERROR(INDEX(Products!$C:$C,MATCH(A186,Products!$A:$A,0)),"")))</f>
        <v/>
      </c>
      <c r="J186" s="14">
        <f>IF(OR(I186="",H186=""),"",I186-H186)</f>
        <v/>
      </c>
      <c r="K186" s="12">
        <f>IF(A186="","",IF(ISNA(MATCH(A186,Products!$A:$A,0)),"NAME NOT IN PRODUCTS",IF(D186="","ADD STORE SKU",IF(LEFT(D186,2)&lt;&gt;"v-","CHECK: STORE SKU STARTS WITH v-",IF(COUNTIF($D:$D,D186)&gt;1,"DUPLICATE STORE SKU",IF(COUNTIFS($A:$A,A186,$B:$B,B186,$C:$C,C186)&gt;1,"DUPLICATE COLOUR + SIZE","OK"))))))</f>
        <v/>
      </c>
    </row>
    <row r="187">
      <c r="A187" s="9" t="n"/>
      <c r="B187" s="9" t="n"/>
      <c r="C187" s="9" t="n"/>
      <c r="D187" s="9" t="n"/>
      <c r="E187" s="11" t="n"/>
      <c r="F187" s="13" t="n"/>
      <c r="G187" s="11" t="n"/>
      <c r="H187" s="13" t="n"/>
      <c r="I187" s="14">
        <f>IF(A187="","",IF(F187&lt;&gt;"",F187,IFERROR(INDEX(Products!$C:$C,MATCH(A187,Products!$A:$A,0)),"")))</f>
        <v/>
      </c>
      <c r="J187" s="14">
        <f>IF(OR(I187="",H187=""),"",I187-H187)</f>
        <v/>
      </c>
      <c r="K187" s="12">
        <f>IF(A187="","",IF(ISNA(MATCH(A187,Products!$A:$A,0)),"NAME NOT IN PRODUCTS",IF(D187="","ADD STORE SKU",IF(LEFT(D187,2)&lt;&gt;"v-","CHECK: STORE SKU STARTS WITH v-",IF(COUNTIF($D:$D,D187)&gt;1,"DUPLICATE STORE SKU",IF(COUNTIFS($A:$A,A187,$B:$B,B187,$C:$C,C187)&gt;1,"DUPLICATE COLOUR + SIZE","OK"))))))</f>
        <v/>
      </c>
    </row>
    <row r="188">
      <c r="A188" s="9" t="n"/>
      <c r="B188" s="9" t="n"/>
      <c r="C188" s="9" t="n"/>
      <c r="D188" s="9" t="n"/>
      <c r="E188" s="11" t="n"/>
      <c r="F188" s="13" t="n"/>
      <c r="G188" s="11" t="n"/>
      <c r="H188" s="13" t="n"/>
      <c r="I188" s="14">
        <f>IF(A188="","",IF(F188&lt;&gt;"",F188,IFERROR(INDEX(Products!$C:$C,MATCH(A188,Products!$A:$A,0)),"")))</f>
        <v/>
      </c>
      <c r="J188" s="14">
        <f>IF(OR(I188="",H188=""),"",I188-H188)</f>
        <v/>
      </c>
      <c r="K188" s="12">
        <f>IF(A188="","",IF(ISNA(MATCH(A188,Products!$A:$A,0)),"NAME NOT IN PRODUCTS",IF(D188="","ADD STORE SKU",IF(LEFT(D188,2)&lt;&gt;"v-","CHECK: STORE SKU STARTS WITH v-",IF(COUNTIF($D:$D,D188)&gt;1,"DUPLICATE STORE SKU",IF(COUNTIFS($A:$A,A188,$B:$B,B188,$C:$C,C188)&gt;1,"DUPLICATE COLOUR + SIZE","OK"))))))</f>
        <v/>
      </c>
    </row>
    <row r="189">
      <c r="A189" s="9" t="n"/>
      <c r="B189" s="9" t="n"/>
      <c r="C189" s="9" t="n"/>
      <c r="D189" s="9" t="n"/>
      <c r="E189" s="11" t="n"/>
      <c r="F189" s="13" t="n"/>
      <c r="G189" s="11" t="n"/>
      <c r="H189" s="13" t="n"/>
      <c r="I189" s="14">
        <f>IF(A189="","",IF(F189&lt;&gt;"",F189,IFERROR(INDEX(Products!$C:$C,MATCH(A189,Products!$A:$A,0)),"")))</f>
        <v/>
      </c>
      <c r="J189" s="14">
        <f>IF(OR(I189="",H189=""),"",I189-H189)</f>
        <v/>
      </c>
      <c r="K189" s="12">
        <f>IF(A189="","",IF(ISNA(MATCH(A189,Products!$A:$A,0)),"NAME NOT IN PRODUCTS",IF(D189="","ADD STORE SKU",IF(LEFT(D189,2)&lt;&gt;"v-","CHECK: STORE SKU STARTS WITH v-",IF(COUNTIF($D:$D,D189)&gt;1,"DUPLICATE STORE SKU",IF(COUNTIFS($A:$A,A189,$B:$B,B189,$C:$C,C189)&gt;1,"DUPLICATE COLOUR + SIZE","OK"))))))</f>
        <v/>
      </c>
    </row>
    <row r="190">
      <c r="A190" s="9" t="n"/>
      <c r="B190" s="9" t="n"/>
      <c r="C190" s="9" t="n"/>
      <c r="D190" s="9" t="n"/>
      <c r="E190" s="11" t="n"/>
      <c r="F190" s="13" t="n"/>
      <c r="G190" s="11" t="n"/>
      <c r="H190" s="13" t="n"/>
      <c r="I190" s="14">
        <f>IF(A190="","",IF(F190&lt;&gt;"",F190,IFERROR(INDEX(Products!$C:$C,MATCH(A190,Products!$A:$A,0)),"")))</f>
        <v/>
      </c>
      <c r="J190" s="14">
        <f>IF(OR(I190="",H190=""),"",I190-H190)</f>
        <v/>
      </c>
      <c r="K190" s="12">
        <f>IF(A190="","",IF(ISNA(MATCH(A190,Products!$A:$A,0)),"NAME NOT IN PRODUCTS",IF(D190="","ADD STORE SKU",IF(LEFT(D190,2)&lt;&gt;"v-","CHECK: STORE SKU STARTS WITH v-",IF(COUNTIF($D:$D,D190)&gt;1,"DUPLICATE STORE SKU",IF(COUNTIFS($A:$A,A190,$B:$B,B190,$C:$C,C190)&gt;1,"DUPLICATE COLOUR + SIZE","OK"))))))</f>
        <v/>
      </c>
    </row>
    <row r="191">
      <c r="A191" s="9" t="n"/>
      <c r="B191" s="9" t="n"/>
      <c r="C191" s="9" t="n"/>
      <c r="D191" s="9" t="n"/>
      <c r="E191" s="11" t="n"/>
      <c r="F191" s="13" t="n"/>
      <c r="G191" s="11" t="n"/>
      <c r="H191" s="13" t="n"/>
      <c r="I191" s="14">
        <f>IF(A191="","",IF(F191&lt;&gt;"",F191,IFERROR(INDEX(Products!$C:$C,MATCH(A191,Products!$A:$A,0)),"")))</f>
        <v/>
      </c>
      <c r="J191" s="14">
        <f>IF(OR(I191="",H191=""),"",I191-H191)</f>
        <v/>
      </c>
      <c r="K191" s="12">
        <f>IF(A191="","",IF(ISNA(MATCH(A191,Products!$A:$A,0)),"NAME NOT IN PRODUCTS",IF(D191="","ADD STORE SKU",IF(LEFT(D191,2)&lt;&gt;"v-","CHECK: STORE SKU STARTS WITH v-",IF(COUNTIF($D:$D,D191)&gt;1,"DUPLICATE STORE SKU",IF(COUNTIFS($A:$A,A191,$B:$B,B191,$C:$C,C191)&gt;1,"DUPLICATE COLOUR + SIZE","OK"))))))</f>
        <v/>
      </c>
    </row>
    <row r="192">
      <c r="A192" s="9" t="n"/>
      <c r="B192" s="9" t="n"/>
      <c r="C192" s="9" t="n"/>
      <c r="D192" s="9" t="n"/>
      <c r="E192" s="11" t="n"/>
      <c r="F192" s="13" t="n"/>
      <c r="G192" s="11" t="n"/>
      <c r="H192" s="13" t="n"/>
      <c r="I192" s="14">
        <f>IF(A192="","",IF(F192&lt;&gt;"",F192,IFERROR(INDEX(Products!$C:$C,MATCH(A192,Products!$A:$A,0)),"")))</f>
        <v/>
      </c>
      <c r="J192" s="14">
        <f>IF(OR(I192="",H192=""),"",I192-H192)</f>
        <v/>
      </c>
      <c r="K192" s="12">
        <f>IF(A192="","",IF(ISNA(MATCH(A192,Products!$A:$A,0)),"NAME NOT IN PRODUCTS",IF(D192="","ADD STORE SKU",IF(LEFT(D192,2)&lt;&gt;"v-","CHECK: STORE SKU STARTS WITH v-",IF(COUNTIF($D:$D,D192)&gt;1,"DUPLICATE STORE SKU",IF(COUNTIFS($A:$A,A192,$B:$B,B192,$C:$C,C192)&gt;1,"DUPLICATE COLOUR + SIZE","OK"))))))</f>
        <v/>
      </c>
    </row>
    <row r="193">
      <c r="A193" s="9" t="n"/>
      <c r="B193" s="9" t="n"/>
      <c r="C193" s="9" t="n"/>
      <c r="D193" s="9" t="n"/>
      <c r="E193" s="11" t="n"/>
      <c r="F193" s="13" t="n"/>
      <c r="G193" s="11" t="n"/>
      <c r="H193" s="13" t="n"/>
      <c r="I193" s="14">
        <f>IF(A193="","",IF(F193&lt;&gt;"",F193,IFERROR(INDEX(Products!$C:$C,MATCH(A193,Products!$A:$A,0)),"")))</f>
        <v/>
      </c>
      <c r="J193" s="14">
        <f>IF(OR(I193="",H193=""),"",I193-H193)</f>
        <v/>
      </c>
      <c r="K193" s="12">
        <f>IF(A193="","",IF(ISNA(MATCH(A193,Products!$A:$A,0)),"NAME NOT IN PRODUCTS",IF(D193="","ADD STORE SKU",IF(LEFT(D193,2)&lt;&gt;"v-","CHECK: STORE SKU STARTS WITH v-",IF(COUNTIF($D:$D,D193)&gt;1,"DUPLICATE STORE SKU",IF(COUNTIFS($A:$A,A193,$B:$B,B193,$C:$C,C193)&gt;1,"DUPLICATE COLOUR + SIZE","OK"))))))</f>
        <v/>
      </c>
    </row>
    <row r="194">
      <c r="A194" s="9" t="n"/>
      <c r="B194" s="9" t="n"/>
      <c r="C194" s="9" t="n"/>
      <c r="D194" s="9" t="n"/>
      <c r="E194" s="11" t="n"/>
      <c r="F194" s="13" t="n"/>
      <c r="G194" s="11" t="n"/>
      <c r="H194" s="13" t="n"/>
      <c r="I194" s="14">
        <f>IF(A194="","",IF(F194&lt;&gt;"",F194,IFERROR(INDEX(Products!$C:$C,MATCH(A194,Products!$A:$A,0)),"")))</f>
        <v/>
      </c>
      <c r="J194" s="14">
        <f>IF(OR(I194="",H194=""),"",I194-H194)</f>
        <v/>
      </c>
      <c r="K194" s="12">
        <f>IF(A194="","",IF(ISNA(MATCH(A194,Products!$A:$A,0)),"NAME NOT IN PRODUCTS",IF(D194="","ADD STORE SKU",IF(LEFT(D194,2)&lt;&gt;"v-","CHECK: STORE SKU STARTS WITH v-",IF(COUNTIF($D:$D,D194)&gt;1,"DUPLICATE STORE SKU",IF(COUNTIFS($A:$A,A194,$B:$B,B194,$C:$C,C194)&gt;1,"DUPLICATE COLOUR + SIZE","OK"))))))</f>
        <v/>
      </c>
    </row>
    <row r="195">
      <c r="A195" s="9" t="n"/>
      <c r="B195" s="9" t="n"/>
      <c r="C195" s="9" t="n"/>
      <c r="D195" s="9" t="n"/>
      <c r="E195" s="11" t="n"/>
      <c r="F195" s="13" t="n"/>
      <c r="G195" s="11" t="n"/>
      <c r="H195" s="13" t="n"/>
      <c r="I195" s="14">
        <f>IF(A195="","",IF(F195&lt;&gt;"",F195,IFERROR(INDEX(Products!$C:$C,MATCH(A195,Products!$A:$A,0)),"")))</f>
        <v/>
      </c>
      <c r="J195" s="14">
        <f>IF(OR(I195="",H195=""),"",I195-H195)</f>
        <v/>
      </c>
      <c r="K195" s="12">
        <f>IF(A195="","",IF(ISNA(MATCH(A195,Products!$A:$A,0)),"NAME NOT IN PRODUCTS",IF(D195="","ADD STORE SKU",IF(LEFT(D195,2)&lt;&gt;"v-","CHECK: STORE SKU STARTS WITH v-",IF(COUNTIF($D:$D,D195)&gt;1,"DUPLICATE STORE SKU",IF(COUNTIFS($A:$A,A195,$B:$B,B195,$C:$C,C195)&gt;1,"DUPLICATE COLOUR + SIZE","OK"))))))</f>
        <v/>
      </c>
    </row>
    <row r="196">
      <c r="A196" s="9" t="n"/>
      <c r="B196" s="9" t="n"/>
      <c r="C196" s="9" t="n"/>
      <c r="D196" s="9" t="n"/>
      <c r="E196" s="11" t="n"/>
      <c r="F196" s="13" t="n"/>
      <c r="G196" s="11" t="n"/>
      <c r="H196" s="13" t="n"/>
      <c r="I196" s="14">
        <f>IF(A196="","",IF(F196&lt;&gt;"",F196,IFERROR(INDEX(Products!$C:$C,MATCH(A196,Products!$A:$A,0)),"")))</f>
        <v/>
      </c>
      <c r="J196" s="14">
        <f>IF(OR(I196="",H196=""),"",I196-H196)</f>
        <v/>
      </c>
      <c r="K196" s="12">
        <f>IF(A196="","",IF(ISNA(MATCH(A196,Products!$A:$A,0)),"NAME NOT IN PRODUCTS",IF(D196="","ADD STORE SKU",IF(LEFT(D196,2)&lt;&gt;"v-","CHECK: STORE SKU STARTS WITH v-",IF(COUNTIF($D:$D,D196)&gt;1,"DUPLICATE STORE SKU",IF(COUNTIFS($A:$A,A196,$B:$B,B196,$C:$C,C196)&gt;1,"DUPLICATE COLOUR + SIZE","OK"))))))</f>
        <v/>
      </c>
    </row>
    <row r="197">
      <c r="A197" s="9" t="n"/>
      <c r="B197" s="9" t="n"/>
      <c r="C197" s="9" t="n"/>
      <c r="D197" s="9" t="n"/>
      <c r="E197" s="11" t="n"/>
      <c r="F197" s="13" t="n"/>
      <c r="G197" s="11" t="n"/>
      <c r="H197" s="13" t="n"/>
      <c r="I197" s="14">
        <f>IF(A197="","",IF(F197&lt;&gt;"",F197,IFERROR(INDEX(Products!$C:$C,MATCH(A197,Products!$A:$A,0)),"")))</f>
        <v/>
      </c>
      <c r="J197" s="14">
        <f>IF(OR(I197="",H197=""),"",I197-H197)</f>
        <v/>
      </c>
      <c r="K197" s="12">
        <f>IF(A197="","",IF(ISNA(MATCH(A197,Products!$A:$A,0)),"NAME NOT IN PRODUCTS",IF(D197="","ADD STORE SKU",IF(LEFT(D197,2)&lt;&gt;"v-","CHECK: STORE SKU STARTS WITH v-",IF(COUNTIF($D:$D,D197)&gt;1,"DUPLICATE STORE SKU",IF(COUNTIFS($A:$A,A197,$B:$B,B197,$C:$C,C197)&gt;1,"DUPLICATE COLOUR + SIZE","OK"))))))</f>
        <v/>
      </c>
    </row>
    <row r="198">
      <c r="A198" s="9" t="n"/>
      <c r="B198" s="9" t="n"/>
      <c r="C198" s="9" t="n"/>
      <c r="D198" s="9" t="n"/>
      <c r="E198" s="11" t="n"/>
      <c r="F198" s="13" t="n"/>
      <c r="G198" s="11" t="n"/>
      <c r="H198" s="13" t="n"/>
      <c r="I198" s="14">
        <f>IF(A198="","",IF(F198&lt;&gt;"",F198,IFERROR(INDEX(Products!$C:$C,MATCH(A198,Products!$A:$A,0)),"")))</f>
        <v/>
      </c>
      <c r="J198" s="14">
        <f>IF(OR(I198="",H198=""),"",I198-H198)</f>
        <v/>
      </c>
      <c r="K198" s="12">
        <f>IF(A198="","",IF(ISNA(MATCH(A198,Products!$A:$A,0)),"NAME NOT IN PRODUCTS",IF(D198="","ADD STORE SKU",IF(LEFT(D198,2)&lt;&gt;"v-","CHECK: STORE SKU STARTS WITH v-",IF(COUNTIF($D:$D,D198)&gt;1,"DUPLICATE STORE SKU",IF(COUNTIFS($A:$A,A198,$B:$B,B198,$C:$C,C198)&gt;1,"DUPLICATE COLOUR + SIZE","OK"))))))</f>
        <v/>
      </c>
    </row>
    <row r="199">
      <c r="A199" s="9" t="n"/>
      <c r="B199" s="9" t="n"/>
      <c r="C199" s="9" t="n"/>
      <c r="D199" s="9" t="n"/>
      <c r="E199" s="11" t="n"/>
      <c r="F199" s="13" t="n"/>
      <c r="G199" s="11" t="n"/>
      <c r="H199" s="13" t="n"/>
      <c r="I199" s="14">
        <f>IF(A199="","",IF(F199&lt;&gt;"",F199,IFERROR(INDEX(Products!$C:$C,MATCH(A199,Products!$A:$A,0)),"")))</f>
        <v/>
      </c>
      <c r="J199" s="14">
        <f>IF(OR(I199="",H199=""),"",I199-H199)</f>
        <v/>
      </c>
      <c r="K199" s="12">
        <f>IF(A199="","",IF(ISNA(MATCH(A199,Products!$A:$A,0)),"NAME NOT IN PRODUCTS",IF(D199="","ADD STORE SKU",IF(LEFT(D199,2)&lt;&gt;"v-","CHECK: STORE SKU STARTS WITH v-",IF(COUNTIF($D:$D,D199)&gt;1,"DUPLICATE STORE SKU",IF(COUNTIFS($A:$A,A199,$B:$B,B199,$C:$C,C199)&gt;1,"DUPLICATE COLOUR + SIZE","OK"))))))</f>
        <v/>
      </c>
    </row>
    <row r="200">
      <c r="A200" s="9" t="n"/>
      <c r="B200" s="9" t="n"/>
      <c r="C200" s="9" t="n"/>
      <c r="D200" s="9" t="n"/>
      <c r="E200" s="11" t="n"/>
      <c r="F200" s="13" t="n"/>
      <c r="G200" s="11" t="n"/>
      <c r="H200" s="13" t="n"/>
      <c r="I200" s="14">
        <f>IF(A200="","",IF(F200&lt;&gt;"",F200,IFERROR(INDEX(Products!$C:$C,MATCH(A200,Products!$A:$A,0)),"")))</f>
        <v/>
      </c>
      <c r="J200" s="14">
        <f>IF(OR(I200="",H200=""),"",I200-H200)</f>
        <v/>
      </c>
      <c r="K200" s="12">
        <f>IF(A200="","",IF(ISNA(MATCH(A200,Products!$A:$A,0)),"NAME NOT IN PRODUCTS",IF(D200="","ADD STORE SKU",IF(LEFT(D200,2)&lt;&gt;"v-","CHECK: STORE SKU STARTS WITH v-",IF(COUNTIF($D:$D,D200)&gt;1,"DUPLICATE STORE SKU",IF(COUNTIFS($A:$A,A200,$B:$B,B200,$C:$C,C200)&gt;1,"DUPLICATE COLOUR + SIZE","OK"))))))</f>
        <v/>
      </c>
    </row>
    <row r="201">
      <c r="A201" s="9" t="n"/>
      <c r="B201" s="9" t="n"/>
      <c r="C201" s="9" t="n"/>
      <c r="D201" s="9" t="n"/>
      <c r="E201" s="11" t="n"/>
      <c r="F201" s="13" t="n"/>
      <c r="G201" s="11" t="n"/>
      <c r="H201" s="13" t="n"/>
      <c r="I201" s="14">
        <f>IF(A201="","",IF(F201&lt;&gt;"",F201,IFERROR(INDEX(Products!$C:$C,MATCH(A201,Products!$A:$A,0)),"")))</f>
        <v/>
      </c>
      <c r="J201" s="14">
        <f>IF(OR(I201="",H201=""),"",I201-H201)</f>
        <v/>
      </c>
      <c r="K201" s="12">
        <f>IF(A201="","",IF(ISNA(MATCH(A201,Products!$A:$A,0)),"NAME NOT IN PRODUCTS",IF(D201="","ADD STORE SKU",IF(LEFT(D201,2)&lt;&gt;"v-","CHECK: STORE SKU STARTS WITH v-",IF(COUNTIF($D:$D,D201)&gt;1,"DUPLICATE STORE SKU",IF(COUNTIFS($A:$A,A201,$B:$B,B201,$C:$C,C201)&gt;1,"DUPLICATE COLOUR + SIZE","OK"))))))</f>
        <v/>
      </c>
    </row>
    <row r="202">
      <c r="A202" s="9" t="n"/>
      <c r="B202" s="9" t="n"/>
      <c r="C202" s="9" t="n"/>
      <c r="D202" s="9" t="n"/>
      <c r="E202" s="11" t="n"/>
      <c r="F202" s="13" t="n"/>
      <c r="G202" s="11" t="n"/>
      <c r="H202" s="13" t="n"/>
      <c r="I202" s="14">
        <f>IF(A202="","",IF(F202&lt;&gt;"",F202,IFERROR(INDEX(Products!$C:$C,MATCH(A202,Products!$A:$A,0)),"")))</f>
        <v/>
      </c>
      <c r="J202" s="14">
        <f>IF(OR(I202="",H202=""),"",I202-H202)</f>
        <v/>
      </c>
      <c r="K202" s="12">
        <f>IF(A202="","",IF(ISNA(MATCH(A202,Products!$A:$A,0)),"NAME NOT IN PRODUCTS",IF(D202="","ADD STORE SKU",IF(LEFT(D202,2)&lt;&gt;"v-","CHECK: STORE SKU STARTS WITH v-",IF(COUNTIF($D:$D,D202)&gt;1,"DUPLICATE STORE SKU",IF(COUNTIFS($A:$A,A202,$B:$B,B202,$C:$C,C202)&gt;1,"DUPLICATE COLOUR + SIZE","OK"))))))</f>
        <v/>
      </c>
    </row>
    <row r="203">
      <c r="A203" s="9" t="n"/>
      <c r="B203" s="9" t="n"/>
      <c r="C203" s="9" t="n"/>
      <c r="D203" s="9" t="n"/>
      <c r="E203" s="11" t="n"/>
      <c r="F203" s="13" t="n"/>
      <c r="G203" s="11" t="n"/>
      <c r="H203" s="13" t="n"/>
      <c r="I203" s="14">
        <f>IF(A203="","",IF(F203&lt;&gt;"",F203,IFERROR(INDEX(Products!$C:$C,MATCH(A203,Products!$A:$A,0)),"")))</f>
        <v/>
      </c>
      <c r="J203" s="14">
        <f>IF(OR(I203="",H203=""),"",I203-H203)</f>
        <v/>
      </c>
      <c r="K203" s="12">
        <f>IF(A203="","",IF(ISNA(MATCH(A203,Products!$A:$A,0)),"NAME NOT IN PRODUCTS",IF(D203="","ADD STORE SKU",IF(LEFT(D203,2)&lt;&gt;"v-","CHECK: STORE SKU STARTS WITH v-",IF(COUNTIF($D:$D,D203)&gt;1,"DUPLICATE STORE SKU",IF(COUNTIFS($A:$A,A203,$B:$B,B203,$C:$C,C203)&gt;1,"DUPLICATE COLOUR + SIZE","OK"))))))</f>
        <v/>
      </c>
    </row>
    <row r="204">
      <c r="A204" s="9" t="n"/>
      <c r="B204" s="9" t="n"/>
      <c r="C204" s="9" t="n"/>
      <c r="D204" s="9" t="n"/>
      <c r="E204" s="11" t="n"/>
      <c r="F204" s="13" t="n"/>
      <c r="G204" s="11" t="n"/>
      <c r="H204" s="13" t="n"/>
      <c r="I204" s="14">
        <f>IF(A204="","",IF(F204&lt;&gt;"",F204,IFERROR(INDEX(Products!$C:$C,MATCH(A204,Products!$A:$A,0)),"")))</f>
        <v/>
      </c>
      <c r="J204" s="14">
        <f>IF(OR(I204="",H204=""),"",I204-H204)</f>
        <v/>
      </c>
      <c r="K204" s="12">
        <f>IF(A204="","",IF(ISNA(MATCH(A204,Products!$A:$A,0)),"NAME NOT IN PRODUCTS",IF(D204="","ADD STORE SKU",IF(LEFT(D204,2)&lt;&gt;"v-","CHECK: STORE SKU STARTS WITH v-",IF(COUNTIF($D:$D,D204)&gt;1,"DUPLICATE STORE SKU",IF(COUNTIFS($A:$A,A204,$B:$B,B204,$C:$C,C204)&gt;1,"DUPLICATE COLOUR + SIZE","OK"))))))</f>
        <v/>
      </c>
    </row>
    <row r="205">
      <c r="A205" s="9" t="n"/>
      <c r="B205" s="9" t="n"/>
      <c r="C205" s="9" t="n"/>
      <c r="D205" s="9" t="n"/>
      <c r="E205" s="11" t="n"/>
      <c r="F205" s="13" t="n"/>
      <c r="G205" s="11" t="n"/>
      <c r="H205" s="13" t="n"/>
      <c r="I205" s="14">
        <f>IF(A205="","",IF(F205&lt;&gt;"",F205,IFERROR(INDEX(Products!$C:$C,MATCH(A205,Products!$A:$A,0)),"")))</f>
        <v/>
      </c>
      <c r="J205" s="14">
        <f>IF(OR(I205="",H205=""),"",I205-H205)</f>
        <v/>
      </c>
      <c r="K205" s="12">
        <f>IF(A205="","",IF(ISNA(MATCH(A205,Products!$A:$A,0)),"NAME NOT IN PRODUCTS",IF(D205="","ADD STORE SKU",IF(LEFT(D205,2)&lt;&gt;"v-","CHECK: STORE SKU STARTS WITH v-",IF(COUNTIF($D:$D,D205)&gt;1,"DUPLICATE STORE SKU",IF(COUNTIFS($A:$A,A205,$B:$B,B205,$C:$C,C205)&gt;1,"DUPLICATE COLOUR + SIZE","OK"))))))</f>
        <v/>
      </c>
    </row>
    <row r="206">
      <c r="A206" s="9" t="n"/>
      <c r="B206" s="9" t="n"/>
      <c r="C206" s="9" t="n"/>
      <c r="D206" s="9" t="n"/>
      <c r="E206" s="11" t="n"/>
      <c r="F206" s="13" t="n"/>
      <c r="G206" s="11" t="n"/>
      <c r="H206" s="13" t="n"/>
      <c r="I206" s="14">
        <f>IF(A206="","",IF(F206&lt;&gt;"",F206,IFERROR(INDEX(Products!$C:$C,MATCH(A206,Products!$A:$A,0)),"")))</f>
        <v/>
      </c>
      <c r="J206" s="14">
        <f>IF(OR(I206="",H206=""),"",I206-H206)</f>
        <v/>
      </c>
      <c r="K206" s="12">
        <f>IF(A206="","",IF(ISNA(MATCH(A206,Products!$A:$A,0)),"NAME NOT IN PRODUCTS",IF(D206="","ADD STORE SKU",IF(LEFT(D206,2)&lt;&gt;"v-","CHECK: STORE SKU STARTS WITH v-",IF(COUNTIF($D:$D,D206)&gt;1,"DUPLICATE STORE SKU",IF(COUNTIFS($A:$A,A206,$B:$B,B206,$C:$C,C206)&gt;1,"DUPLICATE COLOUR + SIZE","OK"))))))</f>
        <v/>
      </c>
    </row>
    <row r="207">
      <c r="A207" s="9" t="n"/>
      <c r="B207" s="9" t="n"/>
      <c r="C207" s="9" t="n"/>
      <c r="D207" s="9" t="n"/>
      <c r="E207" s="11" t="n"/>
      <c r="F207" s="13" t="n"/>
      <c r="G207" s="11" t="n"/>
      <c r="H207" s="13" t="n"/>
      <c r="I207" s="14">
        <f>IF(A207="","",IF(F207&lt;&gt;"",F207,IFERROR(INDEX(Products!$C:$C,MATCH(A207,Products!$A:$A,0)),"")))</f>
        <v/>
      </c>
      <c r="J207" s="14">
        <f>IF(OR(I207="",H207=""),"",I207-H207)</f>
        <v/>
      </c>
      <c r="K207" s="12">
        <f>IF(A207="","",IF(ISNA(MATCH(A207,Products!$A:$A,0)),"NAME NOT IN PRODUCTS",IF(D207="","ADD STORE SKU",IF(LEFT(D207,2)&lt;&gt;"v-","CHECK: STORE SKU STARTS WITH v-",IF(COUNTIF($D:$D,D207)&gt;1,"DUPLICATE STORE SKU",IF(COUNTIFS($A:$A,A207,$B:$B,B207,$C:$C,C207)&gt;1,"DUPLICATE COLOUR + SIZE","OK"))))))</f>
        <v/>
      </c>
    </row>
    <row r="208">
      <c r="A208" s="9" t="n"/>
      <c r="B208" s="9" t="n"/>
      <c r="C208" s="9" t="n"/>
      <c r="D208" s="9" t="n"/>
      <c r="E208" s="11" t="n"/>
      <c r="F208" s="13" t="n"/>
      <c r="G208" s="11" t="n"/>
      <c r="H208" s="13" t="n"/>
      <c r="I208" s="14">
        <f>IF(A208="","",IF(F208&lt;&gt;"",F208,IFERROR(INDEX(Products!$C:$C,MATCH(A208,Products!$A:$A,0)),"")))</f>
        <v/>
      </c>
      <c r="J208" s="14">
        <f>IF(OR(I208="",H208=""),"",I208-H208)</f>
        <v/>
      </c>
      <c r="K208" s="12">
        <f>IF(A208="","",IF(ISNA(MATCH(A208,Products!$A:$A,0)),"NAME NOT IN PRODUCTS",IF(D208="","ADD STORE SKU",IF(LEFT(D208,2)&lt;&gt;"v-","CHECK: STORE SKU STARTS WITH v-",IF(COUNTIF($D:$D,D208)&gt;1,"DUPLICATE STORE SKU",IF(COUNTIFS($A:$A,A208,$B:$B,B208,$C:$C,C208)&gt;1,"DUPLICATE COLOUR + SIZE","OK"))))))</f>
        <v/>
      </c>
    </row>
    <row r="209">
      <c r="A209" s="9" t="n"/>
      <c r="B209" s="9" t="n"/>
      <c r="C209" s="9" t="n"/>
      <c r="D209" s="9" t="n"/>
      <c r="E209" s="11" t="n"/>
      <c r="F209" s="13" t="n"/>
      <c r="G209" s="11" t="n"/>
      <c r="H209" s="13" t="n"/>
      <c r="I209" s="14">
        <f>IF(A209="","",IF(F209&lt;&gt;"",F209,IFERROR(INDEX(Products!$C:$C,MATCH(A209,Products!$A:$A,0)),"")))</f>
        <v/>
      </c>
      <c r="J209" s="14">
        <f>IF(OR(I209="",H209=""),"",I209-H209)</f>
        <v/>
      </c>
      <c r="K209" s="12">
        <f>IF(A209="","",IF(ISNA(MATCH(A209,Products!$A:$A,0)),"NAME NOT IN PRODUCTS",IF(D209="","ADD STORE SKU",IF(LEFT(D209,2)&lt;&gt;"v-","CHECK: STORE SKU STARTS WITH v-",IF(COUNTIF($D:$D,D209)&gt;1,"DUPLICATE STORE SKU",IF(COUNTIFS($A:$A,A209,$B:$B,B209,$C:$C,C209)&gt;1,"DUPLICATE COLOUR + SIZE","OK"))))))</f>
        <v/>
      </c>
    </row>
    <row r="210">
      <c r="A210" s="9" t="n"/>
      <c r="B210" s="9" t="n"/>
      <c r="C210" s="9" t="n"/>
      <c r="D210" s="9" t="n"/>
      <c r="E210" s="11" t="n"/>
      <c r="F210" s="13" t="n"/>
      <c r="G210" s="11" t="n"/>
      <c r="H210" s="13" t="n"/>
      <c r="I210" s="14">
        <f>IF(A210="","",IF(F210&lt;&gt;"",F210,IFERROR(INDEX(Products!$C:$C,MATCH(A210,Products!$A:$A,0)),"")))</f>
        <v/>
      </c>
      <c r="J210" s="14">
        <f>IF(OR(I210="",H210=""),"",I210-H210)</f>
        <v/>
      </c>
      <c r="K210" s="12">
        <f>IF(A210="","",IF(ISNA(MATCH(A210,Products!$A:$A,0)),"NAME NOT IN PRODUCTS",IF(D210="","ADD STORE SKU",IF(LEFT(D210,2)&lt;&gt;"v-","CHECK: STORE SKU STARTS WITH v-",IF(COUNTIF($D:$D,D210)&gt;1,"DUPLICATE STORE SKU",IF(COUNTIFS($A:$A,A210,$B:$B,B210,$C:$C,C210)&gt;1,"DUPLICATE COLOUR + SIZE","OK"))))))</f>
        <v/>
      </c>
    </row>
    <row r="211">
      <c r="A211" s="9" t="n"/>
      <c r="B211" s="9" t="n"/>
      <c r="C211" s="9" t="n"/>
      <c r="D211" s="9" t="n"/>
      <c r="E211" s="11" t="n"/>
      <c r="F211" s="13" t="n"/>
      <c r="G211" s="11" t="n"/>
      <c r="H211" s="13" t="n"/>
      <c r="I211" s="14">
        <f>IF(A211="","",IF(F211&lt;&gt;"",F211,IFERROR(INDEX(Products!$C:$C,MATCH(A211,Products!$A:$A,0)),"")))</f>
        <v/>
      </c>
      <c r="J211" s="14">
        <f>IF(OR(I211="",H211=""),"",I211-H211)</f>
        <v/>
      </c>
      <c r="K211" s="12">
        <f>IF(A211="","",IF(ISNA(MATCH(A211,Products!$A:$A,0)),"NAME NOT IN PRODUCTS",IF(D211="","ADD STORE SKU",IF(LEFT(D211,2)&lt;&gt;"v-","CHECK: STORE SKU STARTS WITH v-",IF(COUNTIF($D:$D,D211)&gt;1,"DUPLICATE STORE SKU",IF(COUNTIFS($A:$A,A211,$B:$B,B211,$C:$C,C211)&gt;1,"DUPLICATE COLOUR + SIZE","OK"))))))</f>
        <v/>
      </c>
    </row>
    <row r="212">
      <c r="A212" s="9" t="n"/>
      <c r="B212" s="9" t="n"/>
      <c r="C212" s="9" t="n"/>
      <c r="D212" s="9" t="n"/>
      <c r="E212" s="11" t="n"/>
      <c r="F212" s="13" t="n"/>
      <c r="G212" s="11" t="n"/>
      <c r="H212" s="13" t="n"/>
      <c r="I212" s="14">
        <f>IF(A212="","",IF(F212&lt;&gt;"",F212,IFERROR(INDEX(Products!$C:$C,MATCH(A212,Products!$A:$A,0)),"")))</f>
        <v/>
      </c>
      <c r="J212" s="14">
        <f>IF(OR(I212="",H212=""),"",I212-H212)</f>
        <v/>
      </c>
      <c r="K212" s="12">
        <f>IF(A212="","",IF(ISNA(MATCH(A212,Products!$A:$A,0)),"NAME NOT IN PRODUCTS",IF(D212="","ADD STORE SKU",IF(LEFT(D212,2)&lt;&gt;"v-","CHECK: STORE SKU STARTS WITH v-",IF(COUNTIF($D:$D,D212)&gt;1,"DUPLICATE STORE SKU",IF(COUNTIFS($A:$A,A212,$B:$B,B212,$C:$C,C212)&gt;1,"DUPLICATE COLOUR + SIZE","OK"))))))</f>
        <v/>
      </c>
    </row>
    <row r="213">
      <c r="A213" s="9" t="n"/>
      <c r="B213" s="9" t="n"/>
      <c r="C213" s="9" t="n"/>
      <c r="D213" s="9" t="n"/>
      <c r="E213" s="11" t="n"/>
      <c r="F213" s="13" t="n"/>
      <c r="G213" s="11" t="n"/>
      <c r="H213" s="13" t="n"/>
      <c r="I213" s="14">
        <f>IF(A213="","",IF(F213&lt;&gt;"",F213,IFERROR(INDEX(Products!$C:$C,MATCH(A213,Products!$A:$A,0)),"")))</f>
        <v/>
      </c>
      <c r="J213" s="14">
        <f>IF(OR(I213="",H213=""),"",I213-H213)</f>
        <v/>
      </c>
      <c r="K213" s="12">
        <f>IF(A213="","",IF(ISNA(MATCH(A213,Products!$A:$A,0)),"NAME NOT IN PRODUCTS",IF(D213="","ADD STORE SKU",IF(LEFT(D213,2)&lt;&gt;"v-","CHECK: STORE SKU STARTS WITH v-",IF(COUNTIF($D:$D,D213)&gt;1,"DUPLICATE STORE SKU",IF(COUNTIFS($A:$A,A213,$B:$B,B213,$C:$C,C213)&gt;1,"DUPLICATE COLOUR + SIZE","OK"))))))</f>
        <v/>
      </c>
    </row>
    <row r="214">
      <c r="A214" s="9" t="n"/>
      <c r="B214" s="9" t="n"/>
      <c r="C214" s="9" t="n"/>
      <c r="D214" s="9" t="n"/>
      <c r="E214" s="11" t="n"/>
      <c r="F214" s="13" t="n"/>
      <c r="G214" s="11" t="n"/>
      <c r="H214" s="13" t="n"/>
      <c r="I214" s="14">
        <f>IF(A214="","",IF(F214&lt;&gt;"",F214,IFERROR(INDEX(Products!$C:$C,MATCH(A214,Products!$A:$A,0)),"")))</f>
        <v/>
      </c>
      <c r="J214" s="14">
        <f>IF(OR(I214="",H214=""),"",I214-H214)</f>
        <v/>
      </c>
      <c r="K214" s="12">
        <f>IF(A214="","",IF(ISNA(MATCH(A214,Products!$A:$A,0)),"NAME NOT IN PRODUCTS",IF(D214="","ADD STORE SKU",IF(LEFT(D214,2)&lt;&gt;"v-","CHECK: STORE SKU STARTS WITH v-",IF(COUNTIF($D:$D,D214)&gt;1,"DUPLICATE STORE SKU",IF(COUNTIFS($A:$A,A214,$B:$B,B214,$C:$C,C214)&gt;1,"DUPLICATE COLOUR + SIZE","OK"))))))</f>
        <v/>
      </c>
    </row>
    <row r="215">
      <c r="A215" s="9" t="n"/>
      <c r="B215" s="9" t="n"/>
      <c r="C215" s="9" t="n"/>
      <c r="D215" s="9" t="n"/>
      <c r="E215" s="11" t="n"/>
      <c r="F215" s="13" t="n"/>
      <c r="G215" s="11" t="n"/>
      <c r="H215" s="13" t="n"/>
      <c r="I215" s="14">
        <f>IF(A215="","",IF(F215&lt;&gt;"",F215,IFERROR(INDEX(Products!$C:$C,MATCH(A215,Products!$A:$A,0)),"")))</f>
        <v/>
      </c>
      <c r="J215" s="14">
        <f>IF(OR(I215="",H215=""),"",I215-H215)</f>
        <v/>
      </c>
      <c r="K215" s="12">
        <f>IF(A215="","",IF(ISNA(MATCH(A215,Products!$A:$A,0)),"NAME NOT IN PRODUCTS",IF(D215="","ADD STORE SKU",IF(LEFT(D215,2)&lt;&gt;"v-","CHECK: STORE SKU STARTS WITH v-",IF(COUNTIF($D:$D,D215)&gt;1,"DUPLICATE STORE SKU",IF(COUNTIFS($A:$A,A215,$B:$B,B215,$C:$C,C215)&gt;1,"DUPLICATE COLOUR + SIZE","OK"))))))</f>
        <v/>
      </c>
    </row>
    <row r="216">
      <c r="A216" s="9" t="n"/>
      <c r="B216" s="9" t="n"/>
      <c r="C216" s="9" t="n"/>
      <c r="D216" s="9" t="n"/>
      <c r="E216" s="11" t="n"/>
      <c r="F216" s="13" t="n"/>
      <c r="G216" s="11" t="n"/>
      <c r="H216" s="13" t="n"/>
      <c r="I216" s="14">
        <f>IF(A216="","",IF(F216&lt;&gt;"",F216,IFERROR(INDEX(Products!$C:$C,MATCH(A216,Products!$A:$A,0)),"")))</f>
        <v/>
      </c>
      <c r="J216" s="14">
        <f>IF(OR(I216="",H216=""),"",I216-H216)</f>
        <v/>
      </c>
      <c r="K216" s="12">
        <f>IF(A216="","",IF(ISNA(MATCH(A216,Products!$A:$A,0)),"NAME NOT IN PRODUCTS",IF(D216="","ADD STORE SKU",IF(LEFT(D216,2)&lt;&gt;"v-","CHECK: STORE SKU STARTS WITH v-",IF(COUNTIF($D:$D,D216)&gt;1,"DUPLICATE STORE SKU",IF(COUNTIFS($A:$A,A216,$B:$B,B216,$C:$C,C216)&gt;1,"DUPLICATE COLOUR + SIZE","OK"))))))</f>
        <v/>
      </c>
    </row>
    <row r="217">
      <c r="A217" s="9" t="n"/>
      <c r="B217" s="9" t="n"/>
      <c r="C217" s="9" t="n"/>
      <c r="D217" s="9" t="n"/>
      <c r="E217" s="11" t="n"/>
      <c r="F217" s="13" t="n"/>
      <c r="G217" s="11" t="n"/>
      <c r="H217" s="13" t="n"/>
      <c r="I217" s="14">
        <f>IF(A217="","",IF(F217&lt;&gt;"",F217,IFERROR(INDEX(Products!$C:$C,MATCH(A217,Products!$A:$A,0)),"")))</f>
        <v/>
      </c>
      <c r="J217" s="14">
        <f>IF(OR(I217="",H217=""),"",I217-H217)</f>
        <v/>
      </c>
      <c r="K217" s="12">
        <f>IF(A217="","",IF(ISNA(MATCH(A217,Products!$A:$A,0)),"NAME NOT IN PRODUCTS",IF(D217="","ADD STORE SKU",IF(LEFT(D217,2)&lt;&gt;"v-","CHECK: STORE SKU STARTS WITH v-",IF(COUNTIF($D:$D,D217)&gt;1,"DUPLICATE STORE SKU",IF(COUNTIFS($A:$A,A217,$B:$B,B217,$C:$C,C217)&gt;1,"DUPLICATE COLOUR + SIZE","OK"))))))</f>
        <v/>
      </c>
    </row>
    <row r="218">
      <c r="A218" s="9" t="n"/>
      <c r="B218" s="9" t="n"/>
      <c r="C218" s="9" t="n"/>
      <c r="D218" s="9" t="n"/>
      <c r="E218" s="11" t="n"/>
      <c r="F218" s="13" t="n"/>
      <c r="G218" s="11" t="n"/>
      <c r="H218" s="13" t="n"/>
      <c r="I218" s="14">
        <f>IF(A218="","",IF(F218&lt;&gt;"",F218,IFERROR(INDEX(Products!$C:$C,MATCH(A218,Products!$A:$A,0)),"")))</f>
        <v/>
      </c>
      <c r="J218" s="14">
        <f>IF(OR(I218="",H218=""),"",I218-H218)</f>
        <v/>
      </c>
      <c r="K218" s="12">
        <f>IF(A218="","",IF(ISNA(MATCH(A218,Products!$A:$A,0)),"NAME NOT IN PRODUCTS",IF(D218="","ADD STORE SKU",IF(LEFT(D218,2)&lt;&gt;"v-","CHECK: STORE SKU STARTS WITH v-",IF(COUNTIF($D:$D,D218)&gt;1,"DUPLICATE STORE SKU",IF(COUNTIFS($A:$A,A218,$B:$B,B218,$C:$C,C218)&gt;1,"DUPLICATE COLOUR + SIZE","OK"))))))</f>
        <v/>
      </c>
    </row>
    <row r="219">
      <c r="A219" s="9" t="n"/>
      <c r="B219" s="9" t="n"/>
      <c r="C219" s="9" t="n"/>
      <c r="D219" s="9" t="n"/>
      <c r="E219" s="11" t="n"/>
      <c r="F219" s="13" t="n"/>
      <c r="G219" s="11" t="n"/>
      <c r="H219" s="13" t="n"/>
      <c r="I219" s="14">
        <f>IF(A219="","",IF(F219&lt;&gt;"",F219,IFERROR(INDEX(Products!$C:$C,MATCH(A219,Products!$A:$A,0)),"")))</f>
        <v/>
      </c>
      <c r="J219" s="14">
        <f>IF(OR(I219="",H219=""),"",I219-H219)</f>
        <v/>
      </c>
      <c r="K219" s="12">
        <f>IF(A219="","",IF(ISNA(MATCH(A219,Products!$A:$A,0)),"NAME NOT IN PRODUCTS",IF(D219="","ADD STORE SKU",IF(LEFT(D219,2)&lt;&gt;"v-","CHECK: STORE SKU STARTS WITH v-",IF(COUNTIF($D:$D,D219)&gt;1,"DUPLICATE STORE SKU",IF(COUNTIFS($A:$A,A219,$B:$B,B219,$C:$C,C219)&gt;1,"DUPLICATE COLOUR + SIZE","OK"))))))</f>
        <v/>
      </c>
    </row>
    <row r="220">
      <c r="A220" s="9" t="n"/>
      <c r="B220" s="9" t="n"/>
      <c r="C220" s="9" t="n"/>
      <c r="D220" s="9" t="n"/>
      <c r="E220" s="11" t="n"/>
      <c r="F220" s="13" t="n"/>
      <c r="G220" s="11" t="n"/>
      <c r="H220" s="13" t="n"/>
      <c r="I220" s="14">
        <f>IF(A220="","",IF(F220&lt;&gt;"",F220,IFERROR(INDEX(Products!$C:$C,MATCH(A220,Products!$A:$A,0)),"")))</f>
        <v/>
      </c>
      <c r="J220" s="14">
        <f>IF(OR(I220="",H220=""),"",I220-H220)</f>
        <v/>
      </c>
      <c r="K220" s="12">
        <f>IF(A220="","",IF(ISNA(MATCH(A220,Products!$A:$A,0)),"NAME NOT IN PRODUCTS",IF(D220="","ADD STORE SKU",IF(LEFT(D220,2)&lt;&gt;"v-","CHECK: STORE SKU STARTS WITH v-",IF(COUNTIF($D:$D,D220)&gt;1,"DUPLICATE STORE SKU",IF(COUNTIFS($A:$A,A220,$B:$B,B220,$C:$C,C220)&gt;1,"DUPLICATE COLOUR + SIZE","OK"))))))</f>
        <v/>
      </c>
    </row>
    <row r="221">
      <c r="A221" s="9" t="n"/>
      <c r="B221" s="9" t="n"/>
      <c r="C221" s="9" t="n"/>
      <c r="D221" s="9" t="n"/>
      <c r="E221" s="11" t="n"/>
      <c r="F221" s="13" t="n"/>
      <c r="G221" s="11" t="n"/>
      <c r="H221" s="13" t="n"/>
      <c r="I221" s="14">
        <f>IF(A221="","",IF(F221&lt;&gt;"",F221,IFERROR(INDEX(Products!$C:$C,MATCH(A221,Products!$A:$A,0)),"")))</f>
        <v/>
      </c>
      <c r="J221" s="14">
        <f>IF(OR(I221="",H221=""),"",I221-H221)</f>
        <v/>
      </c>
      <c r="K221" s="12">
        <f>IF(A221="","",IF(ISNA(MATCH(A221,Products!$A:$A,0)),"NAME NOT IN PRODUCTS",IF(D221="","ADD STORE SKU",IF(LEFT(D221,2)&lt;&gt;"v-","CHECK: STORE SKU STARTS WITH v-",IF(COUNTIF($D:$D,D221)&gt;1,"DUPLICATE STORE SKU",IF(COUNTIFS($A:$A,A221,$B:$B,B221,$C:$C,C221)&gt;1,"DUPLICATE COLOUR + SIZE","OK"))))))</f>
        <v/>
      </c>
    </row>
    <row r="222">
      <c r="A222" s="9" t="n"/>
      <c r="B222" s="9" t="n"/>
      <c r="C222" s="9" t="n"/>
      <c r="D222" s="9" t="n"/>
      <c r="E222" s="11" t="n"/>
      <c r="F222" s="13" t="n"/>
      <c r="G222" s="11" t="n"/>
      <c r="H222" s="13" t="n"/>
      <c r="I222" s="14">
        <f>IF(A222="","",IF(F222&lt;&gt;"",F222,IFERROR(INDEX(Products!$C:$C,MATCH(A222,Products!$A:$A,0)),"")))</f>
        <v/>
      </c>
      <c r="J222" s="14">
        <f>IF(OR(I222="",H222=""),"",I222-H222)</f>
        <v/>
      </c>
      <c r="K222" s="12">
        <f>IF(A222="","",IF(ISNA(MATCH(A222,Products!$A:$A,0)),"NAME NOT IN PRODUCTS",IF(D222="","ADD STORE SKU",IF(LEFT(D222,2)&lt;&gt;"v-","CHECK: STORE SKU STARTS WITH v-",IF(COUNTIF($D:$D,D222)&gt;1,"DUPLICATE STORE SKU",IF(COUNTIFS($A:$A,A222,$B:$B,B222,$C:$C,C222)&gt;1,"DUPLICATE COLOUR + SIZE","OK"))))))</f>
        <v/>
      </c>
    </row>
    <row r="223">
      <c r="A223" s="9" t="n"/>
      <c r="B223" s="9" t="n"/>
      <c r="C223" s="9" t="n"/>
      <c r="D223" s="9" t="n"/>
      <c r="E223" s="11" t="n"/>
      <c r="F223" s="13" t="n"/>
      <c r="G223" s="11" t="n"/>
      <c r="H223" s="13" t="n"/>
      <c r="I223" s="14">
        <f>IF(A223="","",IF(F223&lt;&gt;"",F223,IFERROR(INDEX(Products!$C:$C,MATCH(A223,Products!$A:$A,0)),"")))</f>
        <v/>
      </c>
      <c r="J223" s="14">
        <f>IF(OR(I223="",H223=""),"",I223-H223)</f>
        <v/>
      </c>
      <c r="K223" s="12">
        <f>IF(A223="","",IF(ISNA(MATCH(A223,Products!$A:$A,0)),"NAME NOT IN PRODUCTS",IF(D223="","ADD STORE SKU",IF(LEFT(D223,2)&lt;&gt;"v-","CHECK: STORE SKU STARTS WITH v-",IF(COUNTIF($D:$D,D223)&gt;1,"DUPLICATE STORE SKU",IF(COUNTIFS($A:$A,A223,$B:$B,B223,$C:$C,C223)&gt;1,"DUPLICATE COLOUR + SIZE","OK"))))))</f>
        <v/>
      </c>
    </row>
    <row r="224">
      <c r="A224" s="9" t="n"/>
      <c r="B224" s="9" t="n"/>
      <c r="C224" s="9" t="n"/>
      <c r="D224" s="9" t="n"/>
      <c r="E224" s="11" t="n"/>
      <c r="F224" s="13" t="n"/>
      <c r="G224" s="11" t="n"/>
      <c r="H224" s="13" t="n"/>
      <c r="I224" s="14">
        <f>IF(A224="","",IF(F224&lt;&gt;"",F224,IFERROR(INDEX(Products!$C:$C,MATCH(A224,Products!$A:$A,0)),"")))</f>
        <v/>
      </c>
      <c r="J224" s="14">
        <f>IF(OR(I224="",H224=""),"",I224-H224)</f>
        <v/>
      </c>
      <c r="K224" s="12">
        <f>IF(A224="","",IF(ISNA(MATCH(A224,Products!$A:$A,0)),"NAME NOT IN PRODUCTS",IF(D224="","ADD STORE SKU",IF(LEFT(D224,2)&lt;&gt;"v-","CHECK: STORE SKU STARTS WITH v-",IF(COUNTIF($D:$D,D224)&gt;1,"DUPLICATE STORE SKU",IF(COUNTIFS($A:$A,A224,$B:$B,B224,$C:$C,C224)&gt;1,"DUPLICATE COLOUR + SIZE","OK"))))))</f>
        <v/>
      </c>
    </row>
    <row r="225">
      <c r="A225" s="9" t="n"/>
      <c r="B225" s="9" t="n"/>
      <c r="C225" s="9" t="n"/>
      <c r="D225" s="9" t="n"/>
      <c r="E225" s="11" t="n"/>
      <c r="F225" s="13" t="n"/>
      <c r="G225" s="11" t="n"/>
      <c r="H225" s="13" t="n"/>
      <c r="I225" s="14">
        <f>IF(A225="","",IF(F225&lt;&gt;"",F225,IFERROR(INDEX(Products!$C:$C,MATCH(A225,Products!$A:$A,0)),"")))</f>
        <v/>
      </c>
      <c r="J225" s="14">
        <f>IF(OR(I225="",H225=""),"",I225-H225)</f>
        <v/>
      </c>
      <c r="K225" s="12">
        <f>IF(A225="","",IF(ISNA(MATCH(A225,Products!$A:$A,0)),"NAME NOT IN PRODUCTS",IF(D225="","ADD STORE SKU",IF(LEFT(D225,2)&lt;&gt;"v-","CHECK: STORE SKU STARTS WITH v-",IF(COUNTIF($D:$D,D225)&gt;1,"DUPLICATE STORE SKU",IF(COUNTIFS($A:$A,A225,$B:$B,B225,$C:$C,C225)&gt;1,"DUPLICATE COLOUR + SIZE","OK"))))))</f>
        <v/>
      </c>
    </row>
    <row r="226">
      <c r="A226" s="9" t="n"/>
      <c r="B226" s="9" t="n"/>
      <c r="C226" s="9" t="n"/>
      <c r="D226" s="9" t="n"/>
      <c r="E226" s="11" t="n"/>
      <c r="F226" s="13" t="n"/>
      <c r="G226" s="11" t="n"/>
      <c r="H226" s="13" t="n"/>
      <c r="I226" s="14">
        <f>IF(A226="","",IF(F226&lt;&gt;"",F226,IFERROR(INDEX(Products!$C:$C,MATCH(A226,Products!$A:$A,0)),"")))</f>
        <v/>
      </c>
      <c r="J226" s="14">
        <f>IF(OR(I226="",H226=""),"",I226-H226)</f>
        <v/>
      </c>
      <c r="K226" s="12">
        <f>IF(A226="","",IF(ISNA(MATCH(A226,Products!$A:$A,0)),"NAME NOT IN PRODUCTS",IF(D226="","ADD STORE SKU",IF(LEFT(D226,2)&lt;&gt;"v-","CHECK: STORE SKU STARTS WITH v-",IF(COUNTIF($D:$D,D226)&gt;1,"DUPLICATE STORE SKU",IF(COUNTIFS($A:$A,A226,$B:$B,B226,$C:$C,C226)&gt;1,"DUPLICATE COLOUR + SIZE","OK"))))))</f>
        <v/>
      </c>
    </row>
    <row r="227">
      <c r="A227" s="9" t="n"/>
      <c r="B227" s="9" t="n"/>
      <c r="C227" s="9" t="n"/>
      <c r="D227" s="9" t="n"/>
      <c r="E227" s="11" t="n"/>
      <c r="F227" s="13" t="n"/>
      <c r="G227" s="11" t="n"/>
      <c r="H227" s="13" t="n"/>
      <c r="I227" s="14">
        <f>IF(A227="","",IF(F227&lt;&gt;"",F227,IFERROR(INDEX(Products!$C:$C,MATCH(A227,Products!$A:$A,0)),"")))</f>
        <v/>
      </c>
      <c r="J227" s="14">
        <f>IF(OR(I227="",H227=""),"",I227-H227)</f>
        <v/>
      </c>
      <c r="K227" s="12">
        <f>IF(A227="","",IF(ISNA(MATCH(A227,Products!$A:$A,0)),"NAME NOT IN PRODUCTS",IF(D227="","ADD STORE SKU",IF(LEFT(D227,2)&lt;&gt;"v-","CHECK: STORE SKU STARTS WITH v-",IF(COUNTIF($D:$D,D227)&gt;1,"DUPLICATE STORE SKU",IF(COUNTIFS($A:$A,A227,$B:$B,B227,$C:$C,C227)&gt;1,"DUPLICATE COLOUR + SIZE","OK"))))))</f>
        <v/>
      </c>
    </row>
    <row r="228">
      <c r="A228" s="9" t="n"/>
      <c r="B228" s="9" t="n"/>
      <c r="C228" s="9" t="n"/>
      <c r="D228" s="9" t="n"/>
      <c r="E228" s="11" t="n"/>
      <c r="F228" s="13" t="n"/>
      <c r="G228" s="11" t="n"/>
      <c r="H228" s="13" t="n"/>
      <c r="I228" s="14">
        <f>IF(A228="","",IF(F228&lt;&gt;"",F228,IFERROR(INDEX(Products!$C:$C,MATCH(A228,Products!$A:$A,0)),"")))</f>
        <v/>
      </c>
      <c r="J228" s="14">
        <f>IF(OR(I228="",H228=""),"",I228-H228)</f>
        <v/>
      </c>
      <c r="K228" s="12">
        <f>IF(A228="","",IF(ISNA(MATCH(A228,Products!$A:$A,0)),"NAME NOT IN PRODUCTS",IF(D228="","ADD STORE SKU",IF(LEFT(D228,2)&lt;&gt;"v-","CHECK: STORE SKU STARTS WITH v-",IF(COUNTIF($D:$D,D228)&gt;1,"DUPLICATE STORE SKU",IF(COUNTIFS($A:$A,A228,$B:$B,B228,$C:$C,C228)&gt;1,"DUPLICATE COLOUR + SIZE","OK"))))))</f>
        <v/>
      </c>
    </row>
    <row r="229">
      <c r="A229" s="9" t="n"/>
      <c r="B229" s="9" t="n"/>
      <c r="C229" s="9" t="n"/>
      <c r="D229" s="9" t="n"/>
      <c r="E229" s="11" t="n"/>
      <c r="F229" s="13" t="n"/>
      <c r="G229" s="11" t="n"/>
      <c r="H229" s="13" t="n"/>
      <c r="I229" s="14">
        <f>IF(A229="","",IF(F229&lt;&gt;"",F229,IFERROR(INDEX(Products!$C:$C,MATCH(A229,Products!$A:$A,0)),"")))</f>
        <v/>
      </c>
      <c r="J229" s="14">
        <f>IF(OR(I229="",H229=""),"",I229-H229)</f>
        <v/>
      </c>
      <c r="K229" s="12">
        <f>IF(A229="","",IF(ISNA(MATCH(A229,Products!$A:$A,0)),"NAME NOT IN PRODUCTS",IF(D229="","ADD STORE SKU",IF(LEFT(D229,2)&lt;&gt;"v-","CHECK: STORE SKU STARTS WITH v-",IF(COUNTIF($D:$D,D229)&gt;1,"DUPLICATE STORE SKU",IF(COUNTIFS($A:$A,A229,$B:$B,B229,$C:$C,C229)&gt;1,"DUPLICATE COLOUR + SIZE","OK"))))))</f>
        <v/>
      </c>
    </row>
    <row r="230">
      <c r="A230" s="9" t="n"/>
      <c r="B230" s="9" t="n"/>
      <c r="C230" s="9" t="n"/>
      <c r="D230" s="9" t="n"/>
      <c r="E230" s="11" t="n"/>
      <c r="F230" s="13" t="n"/>
      <c r="G230" s="11" t="n"/>
      <c r="H230" s="13" t="n"/>
      <c r="I230" s="14">
        <f>IF(A230="","",IF(F230&lt;&gt;"",F230,IFERROR(INDEX(Products!$C:$C,MATCH(A230,Products!$A:$A,0)),"")))</f>
        <v/>
      </c>
      <c r="J230" s="14">
        <f>IF(OR(I230="",H230=""),"",I230-H230)</f>
        <v/>
      </c>
      <c r="K230" s="12">
        <f>IF(A230="","",IF(ISNA(MATCH(A230,Products!$A:$A,0)),"NAME NOT IN PRODUCTS",IF(D230="","ADD STORE SKU",IF(LEFT(D230,2)&lt;&gt;"v-","CHECK: STORE SKU STARTS WITH v-",IF(COUNTIF($D:$D,D230)&gt;1,"DUPLICATE STORE SKU",IF(COUNTIFS($A:$A,A230,$B:$B,B230,$C:$C,C230)&gt;1,"DUPLICATE COLOUR + SIZE","OK"))))))</f>
        <v/>
      </c>
    </row>
    <row r="231">
      <c r="A231" s="9" t="n"/>
      <c r="B231" s="9" t="n"/>
      <c r="C231" s="9" t="n"/>
      <c r="D231" s="9" t="n"/>
      <c r="E231" s="11" t="n"/>
      <c r="F231" s="13" t="n"/>
      <c r="G231" s="11" t="n"/>
      <c r="H231" s="13" t="n"/>
      <c r="I231" s="14">
        <f>IF(A231="","",IF(F231&lt;&gt;"",F231,IFERROR(INDEX(Products!$C:$C,MATCH(A231,Products!$A:$A,0)),"")))</f>
        <v/>
      </c>
      <c r="J231" s="14">
        <f>IF(OR(I231="",H231=""),"",I231-H231)</f>
        <v/>
      </c>
      <c r="K231" s="12">
        <f>IF(A231="","",IF(ISNA(MATCH(A231,Products!$A:$A,0)),"NAME NOT IN PRODUCTS",IF(D231="","ADD STORE SKU",IF(LEFT(D231,2)&lt;&gt;"v-","CHECK: STORE SKU STARTS WITH v-",IF(COUNTIF($D:$D,D231)&gt;1,"DUPLICATE STORE SKU",IF(COUNTIFS($A:$A,A231,$B:$B,B231,$C:$C,C231)&gt;1,"DUPLICATE COLOUR + SIZE","OK"))))))</f>
        <v/>
      </c>
    </row>
    <row r="232">
      <c r="A232" s="9" t="n"/>
      <c r="B232" s="9" t="n"/>
      <c r="C232" s="9" t="n"/>
      <c r="D232" s="9" t="n"/>
      <c r="E232" s="11" t="n"/>
      <c r="F232" s="13" t="n"/>
      <c r="G232" s="11" t="n"/>
      <c r="H232" s="13" t="n"/>
      <c r="I232" s="14">
        <f>IF(A232="","",IF(F232&lt;&gt;"",F232,IFERROR(INDEX(Products!$C:$C,MATCH(A232,Products!$A:$A,0)),"")))</f>
        <v/>
      </c>
      <c r="J232" s="14">
        <f>IF(OR(I232="",H232=""),"",I232-H232)</f>
        <v/>
      </c>
      <c r="K232" s="12">
        <f>IF(A232="","",IF(ISNA(MATCH(A232,Products!$A:$A,0)),"NAME NOT IN PRODUCTS",IF(D232="","ADD STORE SKU",IF(LEFT(D232,2)&lt;&gt;"v-","CHECK: STORE SKU STARTS WITH v-",IF(COUNTIF($D:$D,D232)&gt;1,"DUPLICATE STORE SKU",IF(COUNTIFS($A:$A,A232,$B:$B,B232,$C:$C,C232)&gt;1,"DUPLICATE COLOUR + SIZE","OK"))))))</f>
        <v/>
      </c>
    </row>
    <row r="233">
      <c r="A233" s="9" t="n"/>
      <c r="B233" s="9" t="n"/>
      <c r="C233" s="9" t="n"/>
      <c r="D233" s="9" t="n"/>
      <c r="E233" s="11" t="n"/>
      <c r="F233" s="13" t="n"/>
      <c r="G233" s="11" t="n"/>
      <c r="H233" s="13" t="n"/>
      <c r="I233" s="14">
        <f>IF(A233="","",IF(F233&lt;&gt;"",F233,IFERROR(INDEX(Products!$C:$C,MATCH(A233,Products!$A:$A,0)),"")))</f>
        <v/>
      </c>
      <c r="J233" s="14">
        <f>IF(OR(I233="",H233=""),"",I233-H233)</f>
        <v/>
      </c>
      <c r="K233" s="12">
        <f>IF(A233="","",IF(ISNA(MATCH(A233,Products!$A:$A,0)),"NAME NOT IN PRODUCTS",IF(D233="","ADD STORE SKU",IF(LEFT(D233,2)&lt;&gt;"v-","CHECK: STORE SKU STARTS WITH v-",IF(COUNTIF($D:$D,D233)&gt;1,"DUPLICATE STORE SKU",IF(COUNTIFS($A:$A,A233,$B:$B,B233,$C:$C,C233)&gt;1,"DUPLICATE COLOUR + SIZE","OK"))))))</f>
        <v/>
      </c>
    </row>
    <row r="234">
      <c r="A234" s="9" t="n"/>
      <c r="B234" s="9" t="n"/>
      <c r="C234" s="9" t="n"/>
      <c r="D234" s="9" t="n"/>
      <c r="E234" s="11" t="n"/>
      <c r="F234" s="13" t="n"/>
      <c r="G234" s="11" t="n"/>
      <c r="H234" s="13" t="n"/>
      <c r="I234" s="14">
        <f>IF(A234="","",IF(F234&lt;&gt;"",F234,IFERROR(INDEX(Products!$C:$C,MATCH(A234,Products!$A:$A,0)),"")))</f>
        <v/>
      </c>
      <c r="J234" s="14">
        <f>IF(OR(I234="",H234=""),"",I234-H234)</f>
        <v/>
      </c>
      <c r="K234" s="12">
        <f>IF(A234="","",IF(ISNA(MATCH(A234,Products!$A:$A,0)),"NAME NOT IN PRODUCTS",IF(D234="","ADD STORE SKU",IF(LEFT(D234,2)&lt;&gt;"v-","CHECK: STORE SKU STARTS WITH v-",IF(COUNTIF($D:$D,D234)&gt;1,"DUPLICATE STORE SKU",IF(COUNTIFS($A:$A,A234,$B:$B,B234,$C:$C,C234)&gt;1,"DUPLICATE COLOUR + SIZE","OK"))))))</f>
        <v/>
      </c>
    </row>
    <row r="235">
      <c r="A235" s="9" t="n"/>
      <c r="B235" s="9" t="n"/>
      <c r="C235" s="9" t="n"/>
      <c r="D235" s="9" t="n"/>
      <c r="E235" s="11" t="n"/>
      <c r="F235" s="13" t="n"/>
      <c r="G235" s="11" t="n"/>
      <c r="H235" s="13" t="n"/>
      <c r="I235" s="14">
        <f>IF(A235="","",IF(F235&lt;&gt;"",F235,IFERROR(INDEX(Products!$C:$C,MATCH(A235,Products!$A:$A,0)),"")))</f>
        <v/>
      </c>
      <c r="J235" s="14">
        <f>IF(OR(I235="",H235=""),"",I235-H235)</f>
        <v/>
      </c>
      <c r="K235" s="12">
        <f>IF(A235="","",IF(ISNA(MATCH(A235,Products!$A:$A,0)),"NAME NOT IN PRODUCTS",IF(D235="","ADD STORE SKU",IF(LEFT(D235,2)&lt;&gt;"v-","CHECK: STORE SKU STARTS WITH v-",IF(COUNTIF($D:$D,D235)&gt;1,"DUPLICATE STORE SKU",IF(COUNTIFS($A:$A,A235,$B:$B,B235,$C:$C,C235)&gt;1,"DUPLICATE COLOUR + SIZE","OK"))))))</f>
        <v/>
      </c>
    </row>
    <row r="236">
      <c r="A236" s="9" t="n"/>
      <c r="B236" s="9" t="n"/>
      <c r="C236" s="9" t="n"/>
      <c r="D236" s="9" t="n"/>
      <c r="E236" s="11" t="n"/>
      <c r="F236" s="13" t="n"/>
      <c r="G236" s="11" t="n"/>
      <c r="H236" s="13" t="n"/>
      <c r="I236" s="14">
        <f>IF(A236="","",IF(F236&lt;&gt;"",F236,IFERROR(INDEX(Products!$C:$C,MATCH(A236,Products!$A:$A,0)),"")))</f>
        <v/>
      </c>
      <c r="J236" s="14">
        <f>IF(OR(I236="",H236=""),"",I236-H236)</f>
        <v/>
      </c>
      <c r="K236" s="12">
        <f>IF(A236="","",IF(ISNA(MATCH(A236,Products!$A:$A,0)),"NAME NOT IN PRODUCTS",IF(D236="","ADD STORE SKU",IF(LEFT(D236,2)&lt;&gt;"v-","CHECK: STORE SKU STARTS WITH v-",IF(COUNTIF($D:$D,D236)&gt;1,"DUPLICATE STORE SKU",IF(COUNTIFS($A:$A,A236,$B:$B,B236,$C:$C,C236)&gt;1,"DUPLICATE COLOUR + SIZE","OK"))))))</f>
        <v/>
      </c>
    </row>
    <row r="237">
      <c r="A237" s="9" t="n"/>
      <c r="B237" s="9" t="n"/>
      <c r="C237" s="9" t="n"/>
      <c r="D237" s="9" t="n"/>
      <c r="E237" s="11" t="n"/>
      <c r="F237" s="13" t="n"/>
      <c r="G237" s="11" t="n"/>
      <c r="H237" s="13" t="n"/>
      <c r="I237" s="14">
        <f>IF(A237="","",IF(F237&lt;&gt;"",F237,IFERROR(INDEX(Products!$C:$C,MATCH(A237,Products!$A:$A,0)),"")))</f>
        <v/>
      </c>
      <c r="J237" s="14">
        <f>IF(OR(I237="",H237=""),"",I237-H237)</f>
        <v/>
      </c>
      <c r="K237" s="12">
        <f>IF(A237="","",IF(ISNA(MATCH(A237,Products!$A:$A,0)),"NAME NOT IN PRODUCTS",IF(D237="","ADD STORE SKU",IF(LEFT(D237,2)&lt;&gt;"v-","CHECK: STORE SKU STARTS WITH v-",IF(COUNTIF($D:$D,D237)&gt;1,"DUPLICATE STORE SKU",IF(COUNTIFS($A:$A,A237,$B:$B,B237,$C:$C,C237)&gt;1,"DUPLICATE COLOUR + SIZE","OK"))))))</f>
        <v/>
      </c>
    </row>
    <row r="238">
      <c r="A238" s="9" t="n"/>
      <c r="B238" s="9" t="n"/>
      <c r="C238" s="9" t="n"/>
      <c r="D238" s="9" t="n"/>
      <c r="E238" s="11" t="n"/>
      <c r="F238" s="13" t="n"/>
      <c r="G238" s="11" t="n"/>
      <c r="H238" s="13" t="n"/>
      <c r="I238" s="14">
        <f>IF(A238="","",IF(F238&lt;&gt;"",F238,IFERROR(INDEX(Products!$C:$C,MATCH(A238,Products!$A:$A,0)),"")))</f>
        <v/>
      </c>
      <c r="J238" s="14">
        <f>IF(OR(I238="",H238=""),"",I238-H238)</f>
        <v/>
      </c>
      <c r="K238" s="12">
        <f>IF(A238="","",IF(ISNA(MATCH(A238,Products!$A:$A,0)),"NAME NOT IN PRODUCTS",IF(D238="","ADD STORE SKU",IF(LEFT(D238,2)&lt;&gt;"v-","CHECK: STORE SKU STARTS WITH v-",IF(COUNTIF($D:$D,D238)&gt;1,"DUPLICATE STORE SKU",IF(COUNTIFS($A:$A,A238,$B:$B,B238,$C:$C,C238)&gt;1,"DUPLICATE COLOUR + SIZE","OK"))))))</f>
        <v/>
      </c>
    </row>
    <row r="239">
      <c r="A239" s="9" t="n"/>
      <c r="B239" s="9" t="n"/>
      <c r="C239" s="9" t="n"/>
      <c r="D239" s="9" t="n"/>
      <c r="E239" s="11" t="n"/>
      <c r="F239" s="13" t="n"/>
      <c r="G239" s="11" t="n"/>
      <c r="H239" s="13" t="n"/>
      <c r="I239" s="14">
        <f>IF(A239="","",IF(F239&lt;&gt;"",F239,IFERROR(INDEX(Products!$C:$C,MATCH(A239,Products!$A:$A,0)),"")))</f>
        <v/>
      </c>
      <c r="J239" s="14">
        <f>IF(OR(I239="",H239=""),"",I239-H239)</f>
        <v/>
      </c>
      <c r="K239" s="12">
        <f>IF(A239="","",IF(ISNA(MATCH(A239,Products!$A:$A,0)),"NAME NOT IN PRODUCTS",IF(D239="","ADD STORE SKU",IF(LEFT(D239,2)&lt;&gt;"v-","CHECK: STORE SKU STARTS WITH v-",IF(COUNTIF($D:$D,D239)&gt;1,"DUPLICATE STORE SKU",IF(COUNTIFS($A:$A,A239,$B:$B,B239,$C:$C,C239)&gt;1,"DUPLICATE COLOUR + SIZE","OK"))))))</f>
        <v/>
      </c>
    </row>
    <row r="240">
      <c r="A240" s="9" t="n"/>
      <c r="B240" s="9" t="n"/>
      <c r="C240" s="9" t="n"/>
      <c r="D240" s="9" t="n"/>
      <c r="E240" s="11" t="n"/>
      <c r="F240" s="13" t="n"/>
      <c r="G240" s="11" t="n"/>
      <c r="H240" s="13" t="n"/>
      <c r="I240" s="14">
        <f>IF(A240="","",IF(F240&lt;&gt;"",F240,IFERROR(INDEX(Products!$C:$C,MATCH(A240,Products!$A:$A,0)),"")))</f>
        <v/>
      </c>
      <c r="J240" s="14">
        <f>IF(OR(I240="",H240=""),"",I240-H240)</f>
        <v/>
      </c>
      <c r="K240" s="12">
        <f>IF(A240="","",IF(ISNA(MATCH(A240,Products!$A:$A,0)),"NAME NOT IN PRODUCTS",IF(D240="","ADD STORE SKU",IF(LEFT(D240,2)&lt;&gt;"v-","CHECK: STORE SKU STARTS WITH v-",IF(COUNTIF($D:$D,D240)&gt;1,"DUPLICATE STORE SKU",IF(COUNTIFS($A:$A,A240,$B:$B,B240,$C:$C,C240)&gt;1,"DUPLICATE COLOUR + SIZE","OK"))))))</f>
        <v/>
      </c>
    </row>
    <row r="241">
      <c r="A241" s="9" t="n"/>
      <c r="B241" s="9" t="n"/>
      <c r="C241" s="9" t="n"/>
      <c r="D241" s="9" t="n"/>
      <c r="E241" s="11" t="n"/>
      <c r="F241" s="13" t="n"/>
      <c r="G241" s="11" t="n"/>
      <c r="H241" s="13" t="n"/>
      <c r="I241" s="14">
        <f>IF(A241="","",IF(F241&lt;&gt;"",F241,IFERROR(INDEX(Products!$C:$C,MATCH(A241,Products!$A:$A,0)),"")))</f>
        <v/>
      </c>
      <c r="J241" s="14">
        <f>IF(OR(I241="",H241=""),"",I241-H241)</f>
        <v/>
      </c>
      <c r="K241" s="12">
        <f>IF(A241="","",IF(ISNA(MATCH(A241,Products!$A:$A,0)),"NAME NOT IN PRODUCTS",IF(D241="","ADD STORE SKU",IF(LEFT(D241,2)&lt;&gt;"v-","CHECK: STORE SKU STARTS WITH v-",IF(COUNTIF($D:$D,D241)&gt;1,"DUPLICATE STORE SKU",IF(COUNTIFS($A:$A,A241,$B:$B,B241,$C:$C,C241)&gt;1,"DUPLICATE COLOUR + SIZE","OK"))))))</f>
        <v/>
      </c>
    </row>
    <row r="242">
      <c r="A242" s="9" t="n"/>
      <c r="B242" s="9" t="n"/>
      <c r="C242" s="9" t="n"/>
      <c r="D242" s="9" t="n"/>
      <c r="E242" s="11" t="n"/>
      <c r="F242" s="13" t="n"/>
      <c r="G242" s="11" t="n"/>
      <c r="H242" s="13" t="n"/>
      <c r="I242" s="14">
        <f>IF(A242="","",IF(F242&lt;&gt;"",F242,IFERROR(INDEX(Products!$C:$C,MATCH(A242,Products!$A:$A,0)),"")))</f>
        <v/>
      </c>
      <c r="J242" s="14">
        <f>IF(OR(I242="",H242=""),"",I242-H242)</f>
        <v/>
      </c>
      <c r="K242" s="12">
        <f>IF(A242="","",IF(ISNA(MATCH(A242,Products!$A:$A,0)),"NAME NOT IN PRODUCTS",IF(D242="","ADD STORE SKU",IF(LEFT(D242,2)&lt;&gt;"v-","CHECK: STORE SKU STARTS WITH v-",IF(COUNTIF($D:$D,D242)&gt;1,"DUPLICATE STORE SKU",IF(COUNTIFS($A:$A,A242,$B:$B,B242,$C:$C,C242)&gt;1,"DUPLICATE COLOUR + SIZE","OK"))))))</f>
        <v/>
      </c>
    </row>
    <row r="243">
      <c r="A243" s="9" t="n"/>
      <c r="B243" s="9" t="n"/>
      <c r="C243" s="9" t="n"/>
      <c r="D243" s="9" t="n"/>
      <c r="E243" s="11" t="n"/>
      <c r="F243" s="13" t="n"/>
      <c r="G243" s="11" t="n"/>
      <c r="H243" s="13" t="n"/>
      <c r="I243" s="14">
        <f>IF(A243="","",IF(F243&lt;&gt;"",F243,IFERROR(INDEX(Products!$C:$C,MATCH(A243,Products!$A:$A,0)),"")))</f>
        <v/>
      </c>
      <c r="J243" s="14">
        <f>IF(OR(I243="",H243=""),"",I243-H243)</f>
        <v/>
      </c>
      <c r="K243" s="12">
        <f>IF(A243="","",IF(ISNA(MATCH(A243,Products!$A:$A,0)),"NAME NOT IN PRODUCTS",IF(D243="","ADD STORE SKU",IF(LEFT(D243,2)&lt;&gt;"v-","CHECK: STORE SKU STARTS WITH v-",IF(COUNTIF($D:$D,D243)&gt;1,"DUPLICATE STORE SKU",IF(COUNTIFS($A:$A,A243,$B:$B,B243,$C:$C,C243)&gt;1,"DUPLICATE COLOUR + SIZE","OK"))))))</f>
        <v/>
      </c>
    </row>
    <row r="244">
      <c r="A244" s="9" t="n"/>
      <c r="B244" s="9" t="n"/>
      <c r="C244" s="9" t="n"/>
      <c r="D244" s="9" t="n"/>
      <c r="E244" s="11" t="n"/>
      <c r="F244" s="13" t="n"/>
      <c r="G244" s="11" t="n"/>
      <c r="H244" s="13" t="n"/>
      <c r="I244" s="14">
        <f>IF(A244="","",IF(F244&lt;&gt;"",F244,IFERROR(INDEX(Products!$C:$C,MATCH(A244,Products!$A:$A,0)),"")))</f>
        <v/>
      </c>
      <c r="J244" s="14">
        <f>IF(OR(I244="",H244=""),"",I244-H244)</f>
        <v/>
      </c>
      <c r="K244" s="12">
        <f>IF(A244="","",IF(ISNA(MATCH(A244,Products!$A:$A,0)),"NAME NOT IN PRODUCTS",IF(D244="","ADD STORE SKU",IF(LEFT(D244,2)&lt;&gt;"v-","CHECK: STORE SKU STARTS WITH v-",IF(COUNTIF($D:$D,D244)&gt;1,"DUPLICATE STORE SKU",IF(COUNTIFS($A:$A,A244,$B:$B,B244,$C:$C,C244)&gt;1,"DUPLICATE COLOUR + SIZE","OK"))))))</f>
        <v/>
      </c>
    </row>
    <row r="245">
      <c r="A245" s="9" t="n"/>
      <c r="B245" s="9" t="n"/>
      <c r="C245" s="9" t="n"/>
      <c r="D245" s="9" t="n"/>
      <c r="E245" s="11" t="n"/>
      <c r="F245" s="13" t="n"/>
      <c r="G245" s="11" t="n"/>
      <c r="H245" s="13" t="n"/>
      <c r="I245" s="14">
        <f>IF(A245="","",IF(F245&lt;&gt;"",F245,IFERROR(INDEX(Products!$C:$C,MATCH(A245,Products!$A:$A,0)),"")))</f>
        <v/>
      </c>
      <c r="J245" s="14">
        <f>IF(OR(I245="",H245=""),"",I245-H245)</f>
        <v/>
      </c>
      <c r="K245" s="12">
        <f>IF(A245="","",IF(ISNA(MATCH(A245,Products!$A:$A,0)),"NAME NOT IN PRODUCTS",IF(D245="","ADD STORE SKU",IF(LEFT(D245,2)&lt;&gt;"v-","CHECK: STORE SKU STARTS WITH v-",IF(COUNTIF($D:$D,D245)&gt;1,"DUPLICATE STORE SKU",IF(COUNTIFS($A:$A,A245,$B:$B,B245,$C:$C,C245)&gt;1,"DUPLICATE COLOUR + SIZE","OK"))))))</f>
        <v/>
      </c>
    </row>
    <row r="246">
      <c r="A246" s="9" t="n"/>
      <c r="B246" s="9" t="n"/>
      <c r="C246" s="9" t="n"/>
      <c r="D246" s="9" t="n"/>
      <c r="E246" s="11" t="n"/>
      <c r="F246" s="13" t="n"/>
      <c r="G246" s="11" t="n"/>
      <c r="H246" s="13" t="n"/>
      <c r="I246" s="14">
        <f>IF(A246="","",IF(F246&lt;&gt;"",F246,IFERROR(INDEX(Products!$C:$C,MATCH(A246,Products!$A:$A,0)),"")))</f>
        <v/>
      </c>
      <c r="J246" s="14">
        <f>IF(OR(I246="",H246=""),"",I246-H246)</f>
        <v/>
      </c>
      <c r="K246" s="12">
        <f>IF(A246="","",IF(ISNA(MATCH(A246,Products!$A:$A,0)),"NAME NOT IN PRODUCTS",IF(D246="","ADD STORE SKU",IF(LEFT(D246,2)&lt;&gt;"v-","CHECK: STORE SKU STARTS WITH v-",IF(COUNTIF($D:$D,D246)&gt;1,"DUPLICATE STORE SKU",IF(COUNTIFS($A:$A,A246,$B:$B,B246,$C:$C,C246)&gt;1,"DUPLICATE COLOUR + SIZE","OK"))))))</f>
        <v/>
      </c>
    </row>
    <row r="247">
      <c r="A247" s="9" t="n"/>
      <c r="B247" s="9" t="n"/>
      <c r="C247" s="9" t="n"/>
      <c r="D247" s="9" t="n"/>
      <c r="E247" s="11" t="n"/>
      <c r="F247" s="13" t="n"/>
      <c r="G247" s="11" t="n"/>
      <c r="H247" s="13" t="n"/>
      <c r="I247" s="14">
        <f>IF(A247="","",IF(F247&lt;&gt;"",F247,IFERROR(INDEX(Products!$C:$C,MATCH(A247,Products!$A:$A,0)),"")))</f>
        <v/>
      </c>
      <c r="J247" s="14">
        <f>IF(OR(I247="",H247=""),"",I247-H247)</f>
        <v/>
      </c>
      <c r="K247" s="12">
        <f>IF(A247="","",IF(ISNA(MATCH(A247,Products!$A:$A,0)),"NAME NOT IN PRODUCTS",IF(D247="","ADD STORE SKU",IF(LEFT(D247,2)&lt;&gt;"v-","CHECK: STORE SKU STARTS WITH v-",IF(COUNTIF($D:$D,D247)&gt;1,"DUPLICATE STORE SKU",IF(COUNTIFS($A:$A,A247,$B:$B,B247,$C:$C,C247)&gt;1,"DUPLICATE COLOUR + SIZE","OK"))))))</f>
        <v/>
      </c>
    </row>
    <row r="248">
      <c r="A248" s="9" t="n"/>
      <c r="B248" s="9" t="n"/>
      <c r="C248" s="9" t="n"/>
      <c r="D248" s="9" t="n"/>
      <c r="E248" s="11" t="n"/>
      <c r="F248" s="13" t="n"/>
      <c r="G248" s="11" t="n"/>
      <c r="H248" s="13" t="n"/>
      <c r="I248" s="14">
        <f>IF(A248="","",IF(F248&lt;&gt;"",F248,IFERROR(INDEX(Products!$C:$C,MATCH(A248,Products!$A:$A,0)),"")))</f>
        <v/>
      </c>
      <c r="J248" s="14">
        <f>IF(OR(I248="",H248=""),"",I248-H248)</f>
        <v/>
      </c>
      <c r="K248" s="12">
        <f>IF(A248="","",IF(ISNA(MATCH(A248,Products!$A:$A,0)),"NAME NOT IN PRODUCTS",IF(D248="","ADD STORE SKU",IF(LEFT(D248,2)&lt;&gt;"v-","CHECK: STORE SKU STARTS WITH v-",IF(COUNTIF($D:$D,D248)&gt;1,"DUPLICATE STORE SKU",IF(COUNTIFS($A:$A,A248,$B:$B,B248,$C:$C,C248)&gt;1,"DUPLICATE COLOUR + SIZE","OK"))))))</f>
        <v/>
      </c>
    </row>
    <row r="249">
      <c r="A249" s="9" t="n"/>
      <c r="B249" s="9" t="n"/>
      <c r="C249" s="9" t="n"/>
      <c r="D249" s="9" t="n"/>
      <c r="E249" s="11" t="n"/>
      <c r="F249" s="13" t="n"/>
      <c r="G249" s="11" t="n"/>
      <c r="H249" s="13" t="n"/>
      <c r="I249" s="14">
        <f>IF(A249="","",IF(F249&lt;&gt;"",F249,IFERROR(INDEX(Products!$C:$C,MATCH(A249,Products!$A:$A,0)),"")))</f>
        <v/>
      </c>
      <c r="J249" s="14">
        <f>IF(OR(I249="",H249=""),"",I249-H249)</f>
        <v/>
      </c>
      <c r="K249" s="12">
        <f>IF(A249="","",IF(ISNA(MATCH(A249,Products!$A:$A,0)),"NAME NOT IN PRODUCTS",IF(D249="","ADD STORE SKU",IF(LEFT(D249,2)&lt;&gt;"v-","CHECK: STORE SKU STARTS WITH v-",IF(COUNTIF($D:$D,D249)&gt;1,"DUPLICATE STORE SKU",IF(COUNTIFS($A:$A,A249,$B:$B,B249,$C:$C,C249)&gt;1,"DUPLICATE COLOUR + SIZE","OK"))))))</f>
        <v/>
      </c>
    </row>
    <row r="250">
      <c r="A250" s="9" t="n"/>
      <c r="B250" s="9" t="n"/>
      <c r="C250" s="9" t="n"/>
      <c r="D250" s="9" t="n"/>
      <c r="E250" s="11" t="n"/>
      <c r="F250" s="13" t="n"/>
      <c r="G250" s="11" t="n"/>
      <c r="H250" s="13" t="n"/>
      <c r="I250" s="14">
        <f>IF(A250="","",IF(F250&lt;&gt;"",F250,IFERROR(INDEX(Products!$C:$C,MATCH(A250,Products!$A:$A,0)),"")))</f>
        <v/>
      </c>
      <c r="J250" s="14">
        <f>IF(OR(I250="",H250=""),"",I250-H250)</f>
        <v/>
      </c>
      <c r="K250" s="12">
        <f>IF(A250="","",IF(ISNA(MATCH(A250,Products!$A:$A,0)),"NAME NOT IN PRODUCTS",IF(D250="","ADD STORE SKU",IF(LEFT(D250,2)&lt;&gt;"v-","CHECK: STORE SKU STARTS WITH v-",IF(COUNTIF($D:$D,D250)&gt;1,"DUPLICATE STORE SKU",IF(COUNTIFS($A:$A,A250,$B:$B,B250,$C:$C,C250)&gt;1,"DUPLICATE COLOUR + SIZE","OK"))))))</f>
        <v/>
      </c>
    </row>
    <row r="251">
      <c r="A251" s="9" t="n"/>
      <c r="B251" s="9" t="n"/>
      <c r="C251" s="9" t="n"/>
      <c r="D251" s="9" t="n"/>
      <c r="E251" s="11" t="n"/>
      <c r="F251" s="13" t="n"/>
      <c r="G251" s="11" t="n"/>
      <c r="H251" s="13" t="n"/>
      <c r="I251" s="14">
        <f>IF(A251="","",IF(F251&lt;&gt;"",F251,IFERROR(INDEX(Products!$C:$C,MATCH(A251,Products!$A:$A,0)),"")))</f>
        <v/>
      </c>
      <c r="J251" s="14">
        <f>IF(OR(I251="",H251=""),"",I251-H251)</f>
        <v/>
      </c>
      <c r="K251" s="12">
        <f>IF(A251="","",IF(ISNA(MATCH(A251,Products!$A:$A,0)),"NAME NOT IN PRODUCTS",IF(D251="","ADD STORE SKU",IF(LEFT(D251,2)&lt;&gt;"v-","CHECK: STORE SKU STARTS WITH v-",IF(COUNTIF($D:$D,D251)&gt;1,"DUPLICATE STORE SKU",IF(COUNTIFS($A:$A,A251,$B:$B,B251,$C:$C,C251)&gt;1,"DUPLICATE COLOUR + SIZE","OK"))))))</f>
        <v/>
      </c>
    </row>
    <row r="252">
      <c r="A252" s="9" t="n"/>
      <c r="B252" s="9" t="n"/>
      <c r="C252" s="9" t="n"/>
      <c r="D252" s="9" t="n"/>
      <c r="E252" s="11" t="n"/>
      <c r="F252" s="13" t="n"/>
      <c r="G252" s="11" t="n"/>
      <c r="H252" s="13" t="n"/>
      <c r="I252" s="14">
        <f>IF(A252="","",IF(F252&lt;&gt;"",F252,IFERROR(INDEX(Products!$C:$C,MATCH(A252,Products!$A:$A,0)),"")))</f>
        <v/>
      </c>
      <c r="J252" s="14">
        <f>IF(OR(I252="",H252=""),"",I252-H252)</f>
        <v/>
      </c>
      <c r="K252" s="12">
        <f>IF(A252="","",IF(ISNA(MATCH(A252,Products!$A:$A,0)),"NAME NOT IN PRODUCTS",IF(D252="","ADD STORE SKU",IF(LEFT(D252,2)&lt;&gt;"v-","CHECK: STORE SKU STARTS WITH v-",IF(COUNTIF($D:$D,D252)&gt;1,"DUPLICATE STORE SKU",IF(COUNTIFS($A:$A,A252,$B:$B,B252,$C:$C,C252)&gt;1,"DUPLICATE COLOUR + SIZE","OK"))))))</f>
        <v/>
      </c>
    </row>
    <row r="253">
      <c r="A253" s="9" t="n"/>
      <c r="B253" s="9" t="n"/>
      <c r="C253" s="9" t="n"/>
      <c r="D253" s="9" t="n"/>
      <c r="E253" s="11" t="n"/>
      <c r="F253" s="13" t="n"/>
      <c r="G253" s="11" t="n"/>
      <c r="H253" s="13" t="n"/>
      <c r="I253" s="14">
        <f>IF(A253="","",IF(F253&lt;&gt;"",F253,IFERROR(INDEX(Products!$C:$C,MATCH(A253,Products!$A:$A,0)),"")))</f>
        <v/>
      </c>
      <c r="J253" s="14">
        <f>IF(OR(I253="",H253=""),"",I253-H253)</f>
        <v/>
      </c>
      <c r="K253" s="12">
        <f>IF(A253="","",IF(ISNA(MATCH(A253,Products!$A:$A,0)),"NAME NOT IN PRODUCTS",IF(D253="","ADD STORE SKU",IF(LEFT(D253,2)&lt;&gt;"v-","CHECK: STORE SKU STARTS WITH v-",IF(COUNTIF($D:$D,D253)&gt;1,"DUPLICATE STORE SKU",IF(COUNTIFS($A:$A,A253,$B:$B,B253,$C:$C,C253)&gt;1,"DUPLICATE COLOUR + SIZE","OK"))))))</f>
        <v/>
      </c>
    </row>
    <row r="254">
      <c r="A254" s="9" t="n"/>
      <c r="B254" s="9" t="n"/>
      <c r="C254" s="9" t="n"/>
      <c r="D254" s="9" t="n"/>
      <c r="E254" s="11" t="n"/>
      <c r="F254" s="13" t="n"/>
      <c r="G254" s="11" t="n"/>
      <c r="H254" s="13" t="n"/>
      <c r="I254" s="14">
        <f>IF(A254="","",IF(F254&lt;&gt;"",F254,IFERROR(INDEX(Products!$C:$C,MATCH(A254,Products!$A:$A,0)),"")))</f>
        <v/>
      </c>
      <c r="J254" s="14">
        <f>IF(OR(I254="",H254=""),"",I254-H254)</f>
        <v/>
      </c>
      <c r="K254" s="12">
        <f>IF(A254="","",IF(ISNA(MATCH(A254,Products!$A:$A,0)),"NAME NOT IN PRODUCTS",IF(D254="","ADD STORE SKU",IF(LEFT(D254,2)&lt;&gt;"v-","CHECK: STORE SKU STARTS WITH v-",IF(COUNTIF($D:$D,D254)&gt;1,"DUPLICATE STORE SKU",IF(COUNTIFS($A:$A,A254,$B:$B,B254,$C:$C,C254)&gt;1,"DUPLICATE COLOUR + SIZE","OK"))))))</f>
        <v/>
      </c>
    </row>
    <row r="255">
      <c r="A255" s="9" t="n"/>
      <c r="B255" s="9" t="n"/>
      <c r="C255" s="9" t="n"/>
      <c r="D255" s="9" t="n"/>
      <c r="E255" s="11" t="n"/>
      <c r="F255" s="13" t="n"/>
      <c r="G255" s="11" t="n"/>
      <c r="H255" s="13" t="n"/>
      <c r="I255" s="14">
        <f>IF(A255="","",IF(F255&lt;&gt;"",F255,IFERROR(INDEX(Products!$C:$C,MATCH(A255,Products!$A:$A,0)),"")))</f>
        <v/>
      </c>
      <c r="J255" s="14">
        <f>IF(OR(I255="",H255=""),"",I255-H255)</f>
        <v/>
      </c>
      <c r="K255" s="12">
        <f>IF(A255="","",IF(ISNA(MATCH(A255,Products!$A:$A,0)),"NAME NOT IN PRODUCTS",IF(D255="","ADD STORE SKU",IF(LEFT(D255,2)&lt;&gt;"v-","CHECK: STORE SKU STARTS WITH v-",IF(COUNTIF($D:$D,D255)&gt;1,"DUPLICATE STORE SKU",IF(COUNTIFS($A:$A,A255,$B:$B,B255,$C:$C,C255)&gt;1,"DUPLICATE COLOUR + SIZE","OK"))))))</f>
        <v/>
      </c>
    </row>
    <row r="256">
      <c r="A256" s="9" t="n"/>
      <c r="B256" s="9" t="n"/>
      <c r="C256" s="9" t="n"/>
      <c r="D256" s="9" t="n"/>
      <c r="E256" s="11" t="n"/>
      <c r="F256" s="13" t="n"/>
      <c r="G256" s="11" t="n"/>
      <c r="H256" s="13" t="n"/>
      <c r="I256" s="14">
        <f>IF(A256="","",IF(F256&lt;&gt;"",F256,IFERROR(INDEX(Products!$C:$C,MATCH(A256,Products!$A:$A,0)),"")))</f>
        <v/>
      </c>
      <c r="J256" s="14">
        <f>IF(OR(I256="",H256=""),"",I256-H256)</f>
        <v/>
      </c>
      <c r="K256" s="12">
        <f>IF(A256="","",IF(ISNA(MATCH(A256,Products!$A:$A,0)),"NAME NOT IN PRODUCTS",IF(D256="","ADD STORE SKU",IF(LEFT(D256,2)&lt;&gt;"v-","CHECK: STORE SKU STARTS WITH v-",IF(COUNTIF($D:$D,D256)&gt;1,"DUPLICATE STORE SKU",IF(COUNTIFS($A:$A,A256,$B:$B,B256,$C:$C,C256)&gt;1,"DUPLICATE COLOUR + SIZE","OK"))))))</f>
        <v/>
      </c>
    </row>
    <row r="257">
      <c r="A257" s="9" t="n"/>
      <c r="B257" s="9" t="n"/>
      <c r="C257" s="9" t="n"/>
      <c r="D257" s="9" t="n"/>
      <c r="E257" s="11" t="n"/>
      <c r="F257" s="13" t="n"/>
      <c r="G257" s="11" t="n"/>
      <c r="H257" s="13" t="n"/>
      <c r="I257" s="14">
        <f>IF(A257="","",IF(F257&lt;&gt;"",F257,IFERROR(INDEX(Products!$C:$C,MATCH(A257,Products!$A:$A,0)),"")))</f>
        <v/>
      </c>
      <c r="J257" s="14">
        <f>IF(OR(I257="",H257=""),"",I257-H257)</f>
        <v/>
      </c>
      <c r="K257" s="12">
        <f>IF(A257="","",IF(ISNA(MATCH(A257,Products!$A:$A,0)),"NAME NOT IN PRODUCTS",IF(D257="","ADD STORE SKU",IF(LEFT(D257,2)&lt;&gt;"v-","CHECK: STORE SKU STARTS WITH v-",IF(COUNTIF($D:$D,D257)&gt;1,"DUPLICATE STORE SKU",IF(COUNTIFS($A:$A,A257,$B:$B,B257,$C:$C,C257)&gt;1,"DUPLICATE COLOUR + SIZE","OK"))))))</f>
        <v/>
      </c>
    </row>
    <row r="258">
      <c r="A258" s="9" t="n"/>
      <c r="B258" s="9" t="n"/>
      <c r="C258" s="9" t="n"/>
      <c r="D258" s="9" t="n"/>
      <c r="E258" s="11" t="n"/>
      <c r="F258" s="13" t="n"/>
      <c r="G258" s="11" t="n"/>
      <c r="H258" s="13" t="n"/>
      <c r="I258" s="14">
        <f>IF(A258="","",IF(F258&lt;&gt;"",F258,IFERROR(INDEX(Products!$C:$C,MATCH(A258,Products!$A:$A,0)),"")))</f>
        <v/>
      </c>
      <c r="J258" s="14">
        <f>IF(OR(I258="",H258=""),"",I258-H258)</f>
        <v/>
      </c>
      <c r="K258" s="12">
        <f>IF(A258="","",IF(ISNA(MATCH(A258,Products!$A:$A,0)),"NAME NOT IN PRODUCTS",IF(D258="","ADD STORE SKU",IF(LEFT(D258,2)&lt;&gt;"v-","CHECK: STORE SKU STARTS WITH v-",IF(COUNTIF($D:$D,D258)&gt;1,"DUPLICATE STORE SKU",IF(COUNTIFS($A:$A,A258,$B:$B,B258,$C:$C,C258)&gt;1,"DUPLICATE COLOUR + SIZE","OK"))))))</f>
        <v/>
      </c>
    </row>
    <row r="259">
      <c r="A259" s="9" t="n"/>
      <c r="B259" s="9" t="n"/>
      <c r="C259" s="9" t="n"/>
      <c r="D259" s="9" t="n"/>
      <c r="E259" s="11" t="n"/>
      <c r="F259" s="13" t="n"/>
      <c r="G259" s="11" t="n"/>
      <c r="H259" s="13" t="n"/>
      <c r="I259" s="14">
        <f>IF(A259="","",IF(F259&lt;&gt;"",F259,IFERROR(INDEX(Products!$C:$C,MATCH(A259,Products!$A:$A,0)),"")))</f>
        <v/>
      </c>
      <c r="J259" s="14">
        <f>IF(OR(I259="",H259=""),"",I259-H259)</f>
        <v/>
      </c>
      <c r="K259" s="12">
        <f>IF(A259="","",IF(ISNA(MATCH(A259,Products!$A:$A,0)),"NAME NOT IN PRODUCTS",IF(D259="","ADD STORE SKU",IF(LEFT(D259,2)&lt;&gt;"v-","CHECK: STORE SKU STARTS WITH v-",IF(COUNTIF($D:$D,D259)&gt;1,"DUPLICATE STORE SKU",IF(COUNTIFS($A:$A,A259,$B:$B,B259,$C:$C,C259)&gt;1,"DUPLICATE COLOUR + SIZE","OK"))))))</f>
        <v/>
      </c>
    </row>
    <row r="260">
      <c r="A260" s="9" t="n"/>
      <c r="B260" s="9" t="n"/>
      <c r="C260" s="9" t="n"/>
      <c r="D260" s="9" t="n"/>
      <c r="E260" s="11" t="n"/>
      <c r="F260" s="13" t="n"/>
      <c r="G260" s="11" t="n"/>
      <c r="H260" s="13" t="n"/>
      <c r="I260" s="14">
        <f>IF(A260="","",IF(F260&lt;&gt;"",F260,IFERROR(INDEX(Products!$C:$C,MATCH(A260,Products!$A:$A,0)),"")))</f>
        <v/>
      </c>
      <c r="J260" s="14">
        <f>IF(OR(I260="",H260=""),"",I260-H260)</f>
        <v/>
      </c>
      <c r="K260" s="12">
        <f>IF(A260="","",IF(ISNA(MATCH(A260,Products!$A:$A,0)),"NAME NOT IN PRODUCTS",IF(D260="","ADD STORE SKU",IF(LEFT(D260,2)&lt;&gt;"v-","CHECK: STORE SKU STARTS WITH v-",IF(COUNTIF($D:$D,D260)&gt;1,"DUPLICATE STORE SKU",IF(COUNTIFS($A:$A,A260,$B:$B,B260,$C:$C,C260)&gt;1,"DUPLICATE COLOUR + SIZE","OK"))))))</f>
        <v/>
      </c>
    </row>
    <row r="261">
      <c r="A261" s="9" t="n"/>
      <c r="B261" s="9" t="n"/>
      <c r="C261" s="9" t="n"/>
      <c r="D261" s="9" t="n"/>
      <c r="E261" s="11" t="n"/>
      <c r="F261" s="13" t="n"/>
      <c r="G261" s="11" t="n"/>
      <c r="H261" s="13" t="n"/>
      <c r="I261" s="14">
        <f>IF(A261="","",IF(F261&lt;&gt;"",F261,IFERROR(INDEX(Products!$C:$C,MATCH(A261,Products!$A:$A,0)),"")))</f>
        <v/>
      </c>
      <c r="J261" s="14">
        <f>IF(OR(I261="",H261=""),"",I261-H261)</f>
        <v/>
      </c>
      <c r="K261" s="12">
        <f>IF(A261="","",IF(ISNA(MATCH(A261,Products!$A:$A,0)),"NAME NOT IN PRODUCTS",IF(D261="","ADD STORE SKU",IF(LEFT(D261,2)&lt;&gt;"v-","CHECK: STORE SKU STARTS WITH v-",IF(COUNTIF($D:$D,D261)&gt;1,"DUPLICATE STORE SKU",IF(COUNTIFS($A:$A,A261,$B:$B,B261,$C:$C,C261)&gt;1,"DUPLICATE COLOUR + SIZE","OK"))))))</f>
        <v/>
      </c>
    </row>
    <row r="262">
      <c r="A262" s="9" t="n"/>
      <c r="B262" s="9" t="n"/>
      <c r="C262" s="9" t="n"/>
      <c r="D262" s="9" t="n"/>
      <c r="E262" s="11" t="n"/>
      <c r="F262" s="13" t="n"/>
      <c r="G262" s="11" t="n"/>
      <c r="H262" s="13" t="n"/>
      <c r="I262" s="14">
        <f>IF(A262="","",IF(F262&lt;&gt;"",F262,IFERROR(INDEX(Products!$C:$C,MATCH(A262,Products!$A:$A,0)),"")))</f>
        <v/>
      </c>
      <c r="J262" s="14">
        <f>IF(OR(I262="",H262=""),"",I262-H262)</f>
        <v/>
      </c>
      <c r="K262" s="12">
        <f>IF(A262="","",IF(ISNA(MATCH(A262,Products!$A:$A,0)),"NAME NOT IN PRODUCTS",IF(D262="","ADD STORE SKU",IF(LEFT(D262,2)&lt;&gt;"v-","CHECK: STORE SKU STARTS WITH v-",IF(COUNTIF($D:$D,D262)&gt;1,"DUPLICATE STORE SKU",IF(COUNTIFS($A:$A,A262,$B:$B,B262,$C:$C,C262)&gt;1,"DUPLICATE COLOUR + SIZE","OK"))))))</f>
        <v/>
      </c>
    </row>
    <row r="263">
      <c r="A263" s="9" t="n"/>
      <c r="B263" s="9" t="n"/>
      <c r="C263" s="9" t="n"/>
      <c r="D263" s="9" t="n"/>
      <c r="E263" s="11" t="n"/>
      <c r="F263" s="13" t="n"/>
      <c r="G263" s="11" t="n"/>
      <c r="H263" s="13" t="n"/>
      <c r="I263" s="14">
        <f>IF(A263="","",IF(F263&lt;&gt;"",F263,IFERROR(INDEX(Products!$C:$C,MATCH(A263,Products!$A:$A,0)),"")))</f>
        <v/>
      </c>
      <c r="J263" s="14">
        <f>IF(OR(I263="",H263=""),"",I263-H263)</f>
        <v/>
      </c>
      <c r="K263" s="12">
        <f>IF(A263="","",IF(ISNA(MATCH(A263,Products!$A:$A,0)),"NAME NOT IN PRODUCTS",IF(D263="","ADD STORE SKU",IF(LEFT(D263,2)&lt;&gt;"v-","CHECK: STORE SKU STARTS WITH v-",IF(COUNTIF($D:$D,D263)&gt;1,"DUPLICATE STORE SKU",IF(COUNTIFS($A:$A,A263,$B:$B,B263,$C:$C,C263)&gt;1,"DUPLICATE COLOUR + SIZE","OK"))))))</f>
        <v/>
      </c>
    </row>
    <row r="264">
      <c r="A264" s="9" t="n"/>
      <c r="B264" s="9" t="n"/>
      <c r="C264" s="9" t="n"/>
      <c r="D264" s="9" t="n"/>
      <c r="E264" s="11" t="n"/>
      <c r="F264" s="13" t="n"/>
      <c r="G264" s="11" t="n"/>
      <c r="H264" s="13" t="n"/>
      <c r="I264" s="14">
        <f>IF(A264="","",IF(F264&lt;&gt;"",F264,IFERROR(INDEX(Products!$C:$C,MATCH(A264,Products!$A:$A,0)),"")))</f>
        <v/>
      </c>
      <c r="J264" s="14">
        <f>IF(OR(I264="",H264=""),"",I264-H264)</f>
        <v/>
      </c>
      <c r="K264" s="12">
        <f>IF(A264="","",IF(ISNA(MATCH(A264,Products!$A:$A,0)),"NAME NOT IN PRODUCTS",IF(D264="","ADD STORE SKU",IF(LEFT(D264,2)&lt;&gt;"v-","CHECK: STORE SKU STARTS WITH v-",IF(COUNTIF($D:$D,D264)&gt;1,"DUPLICATE STORE SKU",IF(COUNTIFS($A:$A,A264,$B:$B,B264,$C:$C,C264)&gt;1,"DUPLICATE COLOUR + SIZE","OK"))))))</f>
        <v/>
      </c>
    </row>
    <row r="265">
      <c r="A265" s="9" t="n"/>
      <c r="B265" s="9" t="n"/>
      <c r="C265" s="9" t="n"/>
      <c r="D265" s="9" t="n"/>
      <c r="E265" s="11" t="n"/>
      <c r="F265" s="13" t="n"/>
      <c r="G265" s="11" t="n"/>
      <c r="H265" s="13" t="n"/>
      <c r="I265" s="14">
        <f>IF(A265="","",IF(F265&lt;&gt;"",F265,IFERROR(INDEX(Products!$C:$C,MATCH(A265,Products!$A:$A,0)),"")))</f>
        <v/>
      </c>
      <c r="J265" s="14">
        <f>IF(OR(I265="",H265=""),"",I265-H265)</f>
        <v/>
      </c>
      <c r="K265" s="12">
        <f>IF(A265="","",IF(ISNA(MATCH(A265,Products!$A:$A,0)),"NAME NOT IN PRODUCTS",IF(D265="","ADD STORE SKU",IF(LEFT(D265,2)&lt;&gt;"v-","CHECK: STORE SKU STARTS WITH v-",IF(COUNTIF($D:$D,D265)&gt;1,"DUPLICATE STORE SKU",IF(COUNTIFS($A:$A,A265,$B:$B,B265,$C:$C,C265)&gt;1,"DUPLICATE COLOUR + SIZE","OK"))))))</f>
        <v/>
      </c>
    </row>
    <row r="266">
      <c r="A266" s="9" t="n"/>
      <c r="B266" s="9" t="n"/>
      <c r="C266" s="9" t="n"/>
      <c r="D266" s="9" t="n"/>
      <c r="E266" s="11" t="n"/>
      <c r="F266" s="13" t="n"/>
      <c r="G266" s="11" t="n"/>
      <c r="H266" s="13" t="n"/>
      <c r="I266" s="14">
        <f>IF(A266="","",IF(F266&lt;&gt;"",F266,IFERROR(INDEX(Products!$C:$C,MATCH(A266,Products!$A:$A,0)),"")))</f>
        <v/>
      </c>
      <c r="J266" s="14">
        <f>IF(OR(I266="",H266=""),"",I266-H266)</f>
        <v/>
      </c>
      <c r="K266" s="12">
        <f>IF(A266="","",IF(ISNA(MATCH(A266,Products!$A:$A,0)),"NAME NOT IN PRODUCTS",IF(D266="","ADD STORE SKU",IF(LEFT(D266,2)&lt;&gt;"v-","CHECK: STORE SKU STARTS WITH v-",IF(COUNTIF($D:$D,D266)&gt;1,"DUPLICATE STORE SKU",IF(COUNTIFS($A:$A,A266,$B:$B,B266,$C:$C,C266)&gt;1,"DUPLICATE COLOUR + SIZE","OK"))))))</f>
        <v/>
      </c>
    </row>
    <row r="267">
      <c r="A267" s="9" t="n"/>
      <c r="B267" s="9" t="n"/>
      <c r="C267" s="9" t="n"/>
      <c r="D267" s="9" t="n"/>
      <c r="E267" s="11" t="n"/>
      <c r="F267" s="13" t="n"/>
      <c r="G267" s="11" t="n"/>
      <c r="H267" s="13" t="n"/>
      <c r="I267" s="14">
        <f>IF(A267="","",IF(F267&lt;&gt;"",F267,IFERROR(INDEX(Products!$C:$C,MATCH(A267,Products!$A:$A,0)),"")))</f>
        <v/>
      </c>
      <c r="J267" s="14">
        <f>IF(OR(I267="",H267=""),"",I267-H267)</f>
        <v/>
      </c>
      <c r="K267" s="12">
        <f>IF(A267="","",IF(ISNA(MATCH(A267,Products!$A:$A,0)),"NAME NOT IN PRODUCTS",IF(D267="","ADD STORE SKU",IF(LEFT(D267,2)&lt;&gt;"v-","CHECK: STORE SKU STARTS WITH v-",IF(COUNTIF($D:$D,D267)&gt;1,"DUPLICATE STORE SKU",IF(COUNTIFS($A:$A,A267,$B:$B,B267,$C:$C,C267)&gt;1,"DUPLICATE COLOUR + SIZE","OK"))))))</f>
        <v/>
      </c>
    </row>
    <row r="268">
      <c r="A268" s="9" t="n"/>
      <c r="B268" s="9" t="n"/>
      <c r="C268" s="9" t="n"/>
      <c r="D268" s="9" t="n"/>
      <c r="E268" s="11" t="n"/>
      <c r="F268" s="13" t="n"/>
      <c r="G268" s="11" t="n"/>
      <c r="H268" s="13" t="n"/>
      <c r="I268" s="14">
        <f>IF(A268="","",IF(F268&lt;&gt;"",F268,IFERROR(INDEX(Products!$C:$C,MATCH(A268,Products!$A:$A,0)),"")))</f>
        <v/>
      </c>
      <c r="J268" s="14">
        <f>IF(OR(I268="",H268=""),"",I268-H268)</f>
        <v/>
      </c>
      <c r="K268" s="12">
        <f>IF(A268="","",IF(ISNA(MATCH(A268,Products!$A:$A,0)),"NAME NOT IN PRODUCTS",IF(D268="","ADD STORE SKU",IF(LEFT(D268,2)&lt;&gt;"v-","CHECK: STORE SKU STARTS WITH v-",IF(COUNTIF($D:$D,D268)&gt;1,"DUPLICATE STORE SKU",IF(COUNTIFS($A:$A,A268,$B:$B,B268,$C:$C,C268)&gt;1,"DUPLICATE COLOUR + SIZE","OK"))))))</f>
        <v/>
      </c>
    </row>
    <row r="269">
      <c r="A269" s="9" t="n"/>
      <c r="B269" s="9" t="n"/>
      <c r="C269" s="9" t="n"/>
      <c r="D269" s="9" t="n"/>
      <c r="E269" s="11" t="n"/>
      <c r="F269" s="13" t="n"/>
      <c r="G269" s="11" t="n"/>
      <c r="H269" s="13" t="n"/>
      <c r="I269" s="14">
        <f>IF(A269="","",IF(F269&lt;&gt;"",F269,IFERROR(INDEX(Products!$C:$C,MATCH(A269,Products!$A:$A,0)),"")))</f>
        <v/>
      </c>
      <c r="J269" s="14">
        <f>IF(OR(I269="",H269=""),"",I269-H269)</f>
        <v/>
      </c>
      <c r="K269" s="12">
        <f>IF(A269="","",IF(ISNA(MATCH(A269,Products!$A:$A,0)),"NAME NOT IN PRODUCTS",IF(D269="","ADD STORE SKU",IF(LEFT(D269,2)&lt;&gt;"v-","CHECK: STORE SKU STARTS WITH v-",IF(COUNTIF($D:$D,D269)&gt;1,"DUPLICATE STORE SKU",IF(COUNTIFS($A:$A,A269,$B:$B,B269,$C:$C,C269)&gt;1,"DUPLICATE COLOUR + SIZE","OK"))))))</f>
        <v/>
      </c>
    </row>
    <row r="270">
      <c r="A270" s="9" t="n"/>
      <c r="B270" s="9" t="n"/>
      <c r="C270" s="9" t="n"/>
      <c r="D270" s="9" t="n"/>
      <c r="E270" s="11" t="n"/>
      <c r="F270" s="13" t="n"/>
      <c r="G270" s="11" t="n"/>
      <c r="H270" s="13" t="n"/>
      <c r="I270" s="14">
        <f>IF(A270="","",IF(F270&lt;&gt;"",F270,IFERROR(INDEX(Products!$C:$C,MATCH(A270,Products!$A:$A,0)),"")))</f>
        <v/>
      </c>
      <c r="J270" s="14">
        <f>IF(OR(I270="",H270=""),"",I270-H270)</f>
        <v/>
      </c>
      <c r="K270" s="12">
        <f>IF(A270="","",IF(ISNA(MATCH(A270,Products!$A:$A,0)),"NAME NOT IN PRODUCTS",IF(D270="","ADD STORE SKU",IF(LEFT(D270,2)&lt;&gt;"v-","CHECK: STORE SKU STARTS WITH v-",IF(COUNTIF($D:$D,D270)&gt;1,"DUPLICATE STORE SKU",IF(COUNTIFS($A:$A,A270,$B:$B,B270,$C:$C,C270)&gt;1,"DUPLICATE COLOUR + SIZE","OK"))))))</f>
        <v/>
      </c>
    </row>
    <row r="271">
      <c r="A271" s="9" t="n"/>
      <c r="B271" s="9" t="n"/>
      <c r="C271" s="9" t="n"/>
      <c r="D271" s="9" t="n"/>
      <c r="E271" s="11" t="n"/>
      <c r="F271" s="13" t="n"/>
      <c r="G271" s="11" t="n"/>
      <c r="H271" s="13" t="n"/>
      <c r="I271" s="14">
        <f>IF(A271="","",IF(F271&lt;&gt;"",F271,IFERROR(INDEX(Products!$C:$C,MATCH(A271,Products!$A:$A,0)),"")))</f>
        <v/>
      </c>
      <c r="J271" s="14">
        <f>IF(OR(I271="",H271=""),"",I271-H271)</f>
        <v/>
      </c>
      <c r="K271" s="12">
        <f>IF(A271="","",IF(ISNA(MATCH(A271,Products!$A:$A,0)),"NAME NOT IN PRODUCTS",IF(D271="","ADD STORE SKU",IF(LEFT(D271,2)&lt;&gt;"v-","CHECK: STORE SKU STARTS WITH v-",IF(COUNTIF($D:$D,D271)&gt;1,"DUPLICATE STORE SKU",IF(COUNTIFS($A:$A,A271,$B:$B,B271,$C:$C,C271)&gt;1,"DUPLICATE COLOUR + SIZE","OK"))))))</f>
        <v/>
      </c>
    </row>
    <row r="272">
      <c r="A272" s="9" t="n"/>
      <c r="B272" s="9" t="n"/>
      <c r="C272" s="9" t="n"/>
      <c r="D272" s="9" t="n"/>
      <c r="E272" s="11" t="n"/>
      <c r="F272" s="13" t="n"/>
      <c r="G272" s="11" t="n"/>
      <c r="H272" s="13" t="n"/>
      <c r="I272" s="14">
        <f>IF(A272="","",IF(F272&lt;&gt;"",F272,IFERROR(INDEX(Products!$C:$C,MATCH(A272,Products!$A:$A,0)),"")))</f>
        <v/>
      </c>
      <c r="J272" s="14">
        <f>IF(OR(I272="",H272=""),"",I272-H272)</f>
        <v/>
      </c>
      <c r="K272" s="12">
        <f>IF(A272="","",IF(ISNA(MATCH(A272,Products!$A:$A,0)),"NAME NOT IN PRODUCTS",IF(D272="","ADD STORE SKU",IF(LEFT(D272,2)&lt;&gt;"v-","CHECK: STORE SKU STARTS WITH v-",IF(COUNTIF($D:$D,D272)&gt;1,"DUPLICATE STORE SKU",IF(COUNTIFS($A:$A,A272,$B:$B,B272,$C:$C,C272)&gt;1,"DUPLICATE COLOUR + SIZE","OK"))))))</f>
        <v/>
      </c>
    </row>
    <row r="273">
      <c r="A273" s="9" t="n"/>
      <c r="B273" s="9" t="n"/>
      <c r="C273" s="9" t="n"/>
      <c r="D273" s="9" t="n"/>
      <c r="E273" s="11" t="n"/>
      <c r="F273" s="13" t="n"/>
      <c r="G273" s="11" t="n"/>
      <c r="H273" s="13" t="n"/>
      <c r="I273" s="14">
        <f>IF(A273="","",IF(F273&lt;&gt;"",F273,IFERROR(INDEX(Products!$C:$C,MATCH(A273,Products!$A:$A,0)),"")))</f>
        <v/>
      </c>
      <c r="J273" s="14">
        <f>IF(OR(I273="",H273=""),"",I273-H273)</f>
        <v/>
      </c>
      <c r="K273" s="12">
        <f>IF(A273="","",IF(ISNA(MATCH(A273,Products!$A:$A,0)),"NAME NOT IN PRODUCTS",IF(D273="","ADD STORE SKU",IF(LEFT(D273,2)&lt;&gt;"v-","CHECK: STORE SKU STARTS WITH v-",IF(COUNTIF($D:$D,D273)&gt;1,"DUPLICATE STORE SKU",IF(COUNTIFS($A:$A,A273,$B:$B,B273,$C:$C,C273)&gt;1,"DUPLICATE COLOUR + SIZE","OK"))))))</f>
        <v/>
      </c>
    </row>
    <row r="274">
      <c r="A274" s="9" t="n"/>
      <c r="B274" s="9" t="n"/>
      <c r="C274" s="9" t="n"/>
      <c r="D274" s="9" t="n"/>
      <c r="E274" s="11" t="n"/>
      <c r="F274" s="13" t="n"/>
      <c r="G274" s="11" t="n"/>
      <c r="H274" s="13" t="n"/>
      <c r="I274" s="14">
        <f>IF(A274="","",IF(F274&lt;&gt;"",F274,IFERROR(INDEX(Products!$C:$C,MATCH(A274,Products!$A:$A,0)),"")))</f>
        <v/>
      </c>
      <c r="J274" s="14">
        <f>IF(OR(I274="",H274=""),"",I274-H274)</f>
        <v/>
      </c>
      <c r="K274" s="12">
        <f>IF(A274="","",IF(ISNA(MATCH(A274,Products!$A:$A,0)),"NAME NOT IN PRODUCTS",IF(D274="","ADD STORE SKU",IF(LEFT(D274,2)&lt;&gt;"v-","CHECK: STORE SKU STARTS WITH v-",IF(COUNTIF($D:$D,D274)&gt;1,"DUPLICATE STORE SKU",IF(COUNTIFS($A:$A,A274,$B:$B,B274,$C:$C,C274)&gt;1,"DUPLICATE COLOUR + SIZE","OK"))))))</f>
        <v/>
      </c>
    </row>
    <row r="275">
      <c r="A275" s="9" t="n"/>
      <c r="B275" s="9" t="n"/>
      <c r="C275" s="9" t="n"/>
      <c r="D275" s="9" t="n"/>
      <c r="E275" s="11" t="n"/>
      <c r="F275" s="13" t="n"/>
      <c r="G275" s="11" t="n"/>
      <c r="H275" s="13" t="n"/>
      <c r="I275" s="14">
        <f>IF(A275="","",IF(F275&lt;&gt;"",F275,IFERROR(INDEX(Products!$C:$C,MATCH(A275,Products!$A:$A,0)),"")))</f>
        <v/>
      </c>
      <c r="J275" s="14">
        <f>IF(OR(I275="",H275=""),"",I275-H275)</f>
        <v/>
      </c>
      <c r="K275" s="12">
        <f>IF(A275="","",IF(ISNA(MATCH(A275,Products!$A:$A,0)),"NAME NOT IN PRODUCTS",IF(D275="","ADD STORE SKU",IF(LEFT(D275,2)&lt;&gt;"v-","CHECK: STORE SKU STARTS WITH v-",IF(COUNTIF($D:$D,D275)&gt;1,"DUPLICATE STORE SKU",IF(COUNTIFS($A:$A,A275,$B:$B,B275,$C:$C,C275)&gt;1,"DUPLICATE COLOUR + SIZE","OK"))))))</f>
        <v/>
      </c>
    </row>
    <row r="276">
      <c r="A276" s="9" t="n"/>
      <c r="B276" s="9" t="n"/>
      <c r="C276" s="9" t="n"/>
      <c r="D276" s="9" t="n"/>
      <c r="E276" s="11" t="n"/>
      <c r="F276" s="13" t="n"/>
      <c r="G276" s="11" t="n"/>
      <c r="H276" s="13" t="n"/>
      <c r="I276" s="14">
        <f>IF(A276="","",IF(F276&lt;&gt;"",F276,IFERROR(INDEX(Products!$C:$C,MATCH(A276,Products!$A:$A,0)),"")))</f>
        <v/>
      </c>
      <c r="J276" s="14">
        <f>IF(OR(I276="",H276=""),"",I276-H276)</f>
        <v/>
      </c>
      <c r="K276" s="12">
        <f>IF(A276="","",IF(ISNA(MATCH(A276,Products!$A:$A,0)),"NAME NOT IN PRODUCTS",IF(D276="","ADD STORE SKU",IF(LEFT(D276,2)&lt;&gt;"v-","CHECK: STORE SKU STARTS WITH v-",IF(COUNTIF($D:$D,D276)&gt;1,"DUPLICATE STORE SKU",IF(COUNTIFS($A:$A,A276,$B:$B,B276,$C:$C,C276)&gt;1,"DUPLICATE COLOUR + SIZE","OK"))))))</f>
        <v/>
      </c>
    </row>
    <row r="277">
      <c r="A277" s="9" t="n"/>
      <c r="B277" s="9" t="n"/>
      <c r="C277" s="9" t="n"/>
      <c r="D277" s="9" t="n"/>
      <c r="E277" s="11" t="n"/>
      <c r="F277" s="13" t="n"/>
      <c r="G277" s="11" t="n"/>
      <c r="H277" s="13" t="n"/>
      <c r="I277" s="14">
        <f>IF(A277="","",IF(F277&lt;&gt;"",F277,IFERROR(INDEX(Products!$C:$C,MATCH(A277,Products!$A:$A,0)),"")))</f>
        <v/>
      </c>
      <c r="J277" s="14">
        <f>IF(OR(I277="",H277=""),"",I277-H277)</f>
        <v/>
      </c>
      <c r="K277" s="12">
        <f>IF(A277="","",IF(ISNA(MATCH(A277,Products!$A:$A,0)),"NAME NOT IN PRODUCTS",IF(D277="","ADD STORE SKU",IF(LEFT(D277,2)&lt;&gt;"v-","CHECK: STORE SKU STARTS WITH v-",IF(COUNTIF($D:$D,D277)&gt;1,"DUPLICATE STORE SKU",IF(COUNTIFS($A:$A,A277,$B:$B,B277,$C:$C,C277)&gt;1,"DUPLICATE COLOUR + SIZE","OK"))))))</f>
        <v/>
      </c>
    </row>
    <row r="278">
      <c r="A278" s="9" t="n"/>
      <c r="B278" s="9" t="n"/>
      <c r="C278" s="9" t="n"/>
      <c r="D278" s="9" t="n"/>
      <c r="E278" s="11" t="n"/>
      <c r="F278" s="13" t="n"/>
      <c r="G278" s="11" t="n"/>
      <c r="H278" s="13" t="n"/>
      <c r="I278" s="14">
        <f>IF(A278="","",IF(F278&lt;&gt;"",F278,IFERROR(INDEX(Products!$C:$C,MATCH(A278,Products!$A:$A,0)),"")))</f>
        <v/>
      </c>
      <c r="J278" s="14">
        <f>IF(OR(I278="",H278=""),"",I278-H278)</f>
        <v/>
      </c>
      <c r="K278" s="12">
        <f>IF(A278="","",IF(ISNA(MATCH(A278,Products!$A:$A,0)),"NAME NOT IN PRODUCTS",IF(D278="","ADD STORE SKU",IF(LEFT(D278,2)&lt;&gt;"v-","CHECK: STORE SKU STARTS WITH v-",IF(COUNTIF($D:$D,D278)&gt;1,"DUPLICATE STORE SKU",IF(COUNTIFS($A:$A,A278,$B:$B,B278,$C:$C,C278)&gt;1,"DUPLICATE COLOUR + SIZE","OK"))))))</f>
        <v/>
      </c>
    </row>
    <row r="279">
      <c r="A279" s="9" t="n"/>
      <c r="B279" s="9" t="n"/>
      <c r="C279" s="9" t="n"/>
      <c r="D279" s="9" t="n"/>
      <c r="E279" s="11" t="n"/>
      <c r="F279" s="13" t="n"/>
      <c r="G279" s="11" t="n"/>
      <c r="H279" s="13" t="n"/>
      <c r="I279" s="14">
        <f>IF(A279="","",IF(F279&lt;&gt;"",F279,IFERROR(INDEX(Products!$C:$C,MATCH(A279,Products!$A:$A,0)),"")))</f>
        <v/>
      </c>
      <c r="J279" s="14">
        <f>IF(OR(I279="",H279=""),"",I279-H279)</f>
        <v/>
      </c>
      <c r="K279" s="12">
        <f>IF(A279="","",IF(ISNA(MATCH(A279,Products!$A:$A,0)),"NAME NOT IN PRODUCTS",IF(D279="","ADD STORE SKU",IF(LEFT(D279,2)&lt;&gt;"v-","CHECK: STORE SKU STARTS WITH v-",IF(COUNTIF($D:$D,D279)&gt;1,"DUPLICATE STORE SKU",IF(COUNTIFS($A:$A,A279,$B:$B,B279,$C:$C,C279)&gt;1,"DUPLICATE COLOUR + SIZE","OK"))))))</f>
        <v/>
      </c>
    </row>
    <row r="280">
      <c r="A280" s="9" t="n"/>
      <c r="B280" s="9" t="n"/>
      <c r="C280" s="9" t="n"/>
      <c r="D280" s="9" t="n"/>
      <c r="E280" s="11" t="n"/>
      <c r="F280" s="13" t="n"/>
      <c r="G280" s="11" t="n"/>
      <c r="H280" s="13" t="n"/>
      <c r="I280" s="14">
        <f>IF(A280="","",IF(F280&lt;&gt;"",F280,IFERROR(INDEX(Products!$C:$C,MATCH(A280,Products!$A:$A,0)),"")))</f>
        <v/>
      </c>
      <c r="J280" s="14">
        <f>IF(OR(I280="",H280=""),"",I280-H280)</f>
        <v/>
      </c>
      <c r="K280" s="12">
        <f>IF(A280="","",IF(ISNA(MATCH(A280,Products!$A:$A,0)),"NAME NOT IN PRODUCTS",IF(D280="","ADD STORE SKU",IF(LEFT(D280,2)&lt;&gt;"v-","CHECK: STORE SKU STARTS WITH v-",IF(COUNTIF($D:$D,D280)&gt;1,"DUPLICATE STORE SKU",IF(COUNTIFS($A:$A,A280,$B:$B,B280,$C:$C,C280)&gt;1,"DUPLICATE COLOUR + SIZE","OK"))))))</f>
        <v/>
      </c>
    </row>
    <row r="281">
      <c r="A281" s="9" t="n"/>
      <c r="B281" s="9" t="n"/>
      <c r="C281" s="9" t="n"/>
      <c r="D281" s="9" t="n"/>
      <c r="E281" s="11" t="n"/>
      <c r="F281" s="13" t="n"/>
      <c r="G281" s="11" t="n"/>
      <c r="H281" s="13" t="n"/>
      <c r="I281" s="14">
        <f>IF(A281="","",IF(F281&lt;&gt;"",F281,IFERROR(INDEX(Products!$C:$C,MATCH(A281,Products!$A:$A,0)),"")))</f>
        <v/>
      </c>
      <c r="J281" s="14">
        <f>IF(OR(I281="",H281=""),"",I281-H281)</f>
        <v/>
      </c>
      <c r="K281" s="12">
        <f>IF(A281="","",IF(ISNA(MATCH(A281,Products!$A:$A,0)),"NAME NOT IN PRODUCTS",IF(D281="","ADD STORE SKU",IF(LEFT(D281,2)&lt;&gt;"v-","CHECK: STORE SKU STARTS WITH v-",IF(COUNTIF($D:$D,D281)&gt;1,"DUPLICATE STORE SKU",IF(COUNTIFS($A:$A,A281,$B:$B,B281,$C:$C,C281)&gt;1,"DUPLICATE COLOUR + SIZE","OK"))))))</f>
        <v/>
      </c>
    </row>
    <row r="282">
      <c r="A282" s="9" t="n"/>
      <c r="B282" s="9" t="n"/>
      <c r="C282" s="9" t="n"/>
      <c r="D282" s="9" t="n"/>
      <c r="E282" s="11" t="n"/>
      <c r="F282" s="13" t="n"/>
      <c r="G282" s="11" t="n"/>
      <c r="H282" s="13" t="n"/>
      <c r="I282" s="14">
        <f>IF(A282="","",IF(F282&lt;&gt;"",F282,IFERROR(INDEX(Products!$C:$C,MATCH(A282,Products!$A:$A,0)),"")))</f>
        <v/>
      </c>
      <c r="J282" s="14">
        <f>IF(OR(I282="",H282=""),"",I282-H282)</f>
        <v/>
      </c>
      <c r="K282" s="12">
        <f>IF(A282="","",IF(ISNA(MATCH(A282,Products!$A:$A,0)),"NAME NOT IN PRODUCTS",IF(D282="","ADD STORE SKU",IF(LEFT(D282,2)&lt;&gt;"v-","CHECK: STORE SKU STARTS WITH v-",IF(COUNTIF($D:$D,D282)&gt;1,"DUPLICATE STORE SKU",IF(COUNTIFS($A:$A,A282,$B:$B,B282,$C:$C,C282)&gt;1,"DUPLICATE COLOUR + SIZE","OK"))))))</f>
        <v/>
      </c>
    </row>
    <row r="283">
      <c r="A283" s="9" t="n"/>
      <c r="B283" s="9" t="n"/>
      <c r="C283" s="9" t="n"/>
      <c r="D283" s="9" t="n"/>
      <c r="E283" s="11" t="n"/>
      <c r="F283" s="13" t="n"/>
      <c r="G283" s="11" t="n"/>
      <c r="H283" s="13" t="n"/>
      <c r="I283" s="14">
        <f>IF(A283="","",IF(F283&lt;&gt;"",F283,IFERROR(INDEX(Products!$C:$C,MATCH(A283,Products!$A:$A,0)),"")))</f>
        <v/>
      </c>
      <c r="J283" s="14">
        <f>IF(OR(I283="",H283=""),"",I283-H283)</f>
        <v/>
      </c>
      <c r="K283" s="12">
        <f>IF(A283="","",IF(ISNA(MATCH(A283,Products!$A:$A,0)),"NAME NOT IN PRODUCTS",IF(D283="","ADD STORE SKU",IF(LEFT(D283,2)&lt;&gt;"v-","CHECK: STORE SKU STARTS WITH v-",IF(COUNTIF($D:$D,D283)&gt;1,"DUPLICATE STORE SKU",IF(COUNTIFS($A:$A,A283,$B:$B,B283,$C:$C,C283)&gt;1,"DUPLICATE COLOUR + SIZE","OK"))))))</f>
        <v/>
      </c>
    </row>
    <row r="284">
      <c r="A284" s="9" t="n"/>
      <c r="B284" s="9" t="n"/>
      <c r="C284" s="9" t="n"/>
      <c r="D284" s="9" t="n"/>
      <c r="E284" s="11" t="n"/>
      <c r="F284" s="13" t="n"/>
      <c r="G284" s="11" t="n"/>
      <c r="H284" s="13" t="n"/>
      <c r="I284" s="14">
        <f>IF(A284="","",IF(F284&lt;&gt;"",F284,IFERROR(INDEX(Products!$C:$C,MATCH(A284,Products!$A:$A,0)),"")))</f>
        <v/>
      </c>
      <c r="J284" s="14">
        <f>IF(OR(I284="",H284=""),"",I284-H284)</f>
        <v/>
      </c>
      <c r="K284" s="12">
        <f>IF(A284="","",IF(ISNA(MATCH(A284,Products!$A:$A,0)),"NAME NOT IN PRODUCTS",IF(D284="","ADD STORE SKU",IF(LEFT(D284,2)&lt;&gt;"v-","CHECK: STORE SKU STARTS WITH v-",IF(COUNTIF($D:$D,D284)&gt;1,"DUPLICATE STORE SKU",IF(COUNTIFS($A:$A,A284,$B:$B,B284,$C:$C,C284)&gt;1,"DUPLICATE COLOUR + SIZE","OK"))))))</f>
        <v/>
      </c>
    </row>
    <row r="285">
      <c r="A285" s="9" t="n"/>
      <c r="B285" s="9" t="n"/>
      <c r="C285" s="9" t="n"/>
      <c r="D285" s="9" t="n"/>
      <c r="E285" s="11" t="n"/>
      <c r="F285" s="13" t="n"/>
      <c r="G285" s="11" t="n"/>
      <c r="H285" s="13" t="n"/>
      <c r="I285" s="14">
        <f>IF(A285="","",IF(F285&lt;&gt;"",F285,IFERROR(INDEX(Products!$C:$C,MATCH(A285,Products!$A:$A,0)),"")))</f>
        <v/>
      </c>
      <c r="J285" s="14">
        <f>IF(OR(I285="",H285=""),"",I285-H285)</f>
        <v/>
      </c>
      <c r="K285" s="12">
        <f>IF(A285="","",IF(ISNA(MATCH(A285,Products!$A:$A,0)),"NAME NOT IN PRODUCTS",IF(D285="","ADD STORE SKU",IF(LEFT(D285,2)&lt;&gt;"v-","CHECK: STORE SKU STARTS WITH v-",IF(COUNTIF($D:$D,D285)&gt;1,"DUPLICATE STORE SKU",IF(COUNTIFS($A:$A,A285,$B:$B,B285,$C:$C,C285)&gt;1,"DUPLICATE COLOUR + SIZE","OK"))))))</f>
        <v/>
      </c>
    </row>
    <row r="286">
      <c r="A286" s="9" t="n"/>
      <c r="B286" s="9" t="n"/>
      <c r="C286" s="9" t="n"/>
      <c r="D286" s="9" t="n"/>
      <c r="E286" s="11" t="n"/>
      <c r="F286" s="13" t="n"/>
      <c r="G286" s="11" t="n"/>
      <c r="H286" s="13" t="n"/>
      <c r="I286" s="14">
        <f>IF(A286="","",IF(F286&lt;&gt;"",F286,IFERROR(INDEX(Products!$C:$C,MATCH(A286,Products!$A:$A,0)),"")))</f>
        <v/>
      </c>
      <c r="J286" s="14">
        <f>IF(OR(I286="",H286=""),"",I286-H286)</f>
        <v/>
      </c>
      <c r="K286" s="12">
        <f>IF(A286="","",IF(ISNA(MATCH(A286,Products!$A:$A,0)),"NAME NOT IN PRODUCTS",IF(D286="","ADD STORE SKU",IF(LEFT(D286,2)&lt;&gt;"v-","CHECK: STORE SKU STARTS WITH v-",IF(COUNTIF($D:$D,D286)&gt;1,"DUPLICATE STORE SKU",IF(COUNTIFS($A:$A,A286,$B:$B,B286,$C:$C,C286)&gt;1,"DUPLICATE COLOUR + SIZE","OK"))))))</f>
        <v/>
      </c>
    </row>
    <row r="287">
      <c r="A287" s="9" t="n"/>
      <c r="B287" s="9" t="n"/>
      <c r="C287" s="9" t="n"/>
      <c r="D287" s="9" t="n"/>
      <c r="E287" s="11" t="n"/>
      <c r="F287" s="13" t="n"/>
      <c r="G287" s="11" t="n"/>
      <c r="H287" s="13" t="n"/>
      <c r="I287" s="14">
        <f>IF(A287="","",IF(F287&lt;&gt;"",F287,IFERROR(INDEX(Products!$C:$C,MATCH(A287,Products!$A:$A,0)),"")))</f>
        <v/>
      </c>
      <c r="J287" s="14">
        <f>IF(OR(I287="",H287=""),"",I287-H287)</f>
        <v/>
      </c>
      <c r="K287" s="12">
        <f>IF(A287="","",IF(ISNA(MATCH(A287,Products!$A:$A,0)),"NAME NOT IN PRODUCTS",IF(D287="","ADD STORE SKU",IF(LEFT(D287,2)&lt;&gt;"v-","CHECK: STORE SKU STARTS WITH v-",IF(COUNTIF($D:$D,D287)&gt;1,"DUPLICATE STORE SKU",IF(COUNTIFS($A:$A,A287,$B:$B,B287,$C:$C,C287)&gt;1,"DUPLICATE COLOUR + SIZE","OK"))))))</f>
        <v/>
      </c>
    </row>
    <row r="288">
      <c r="A288" s="9" t="n"/>
      <c r="B288" s="9" t="n"/>
      <c r="C288" s="9" t="n"/>
      <c r="D288" s="9" t="n"/>
      <c r="E288" s="11" t="n"/>
      <c r="F288" s="13" t="n"/>
      <c r="G288" s="11" t="n"/>
      <c r="H288" s="13" t="n"/>
      <c r="I288" s="14">
        <f>IF(A288="","",IF(F288&lt;&gt;"",F288,IFERROR(INDEX(Products!$C:$C,MATCH(A288,Products!$A:$A,0)),"")))</f>
        <v/>
      </c>
      <c r="J288" s="14">
        <f>IF(OR(I288="",H288=""),"",I288-H288)</f>
        <v/>
      </c>
      <c r="K288" s="12">
        <f>IF(A288="","",IF(ISNA(MATCH(A288,Products!$A:$A,0)),"NAME NOT IN PRODUCTS",IF(D288="","ADD STORE SKU",IF(LEFT(D288,2)&lt;&gt;"v-","CHECK: STORE SKU STARTS WITH v-",IF(COUNTIF($D:$D,D288)&gt;1,"DUPLICATE STORE SKU",IF(COUNTIFS($A:$A,A288,$B:$B,B288,$C:$C,C288)&gt;1,"DUPLICATE COLOUR + SIZE","OK"))))))</f>
        <v/>
      </c>
    </row>
    <row r="289">
      <c r="A289" s="9" t="n"/>
      <c r="B289" s="9" t="n"/>
      <c r="C289" s="9" t="n"/>
      <c r="D289" s="9" t="n"/>
      <c r="E289" s="11" t="n"/>
      <c r="F289" s="13" t="n"/>
      <c r="G289" s="11" t="n"/>
      <c r="H289" s="13" t="n"/>
      <c r="I289" s="14">
        <f>IF(A289="","",IF(F289&lt;&gt;"",F289,IFERROR(INDEX(Products!$C:$C,MATCH(A289,Products!$A:$A,0)),"")))</f>
        <v/>
      </c>
      <c r="J289" s="14">
        <f>IF(OR(I289="",H289=""),"",I289-H289)</f>
        <v/>
      </c>
      <c r="K289" s="12">
        <f>IF(A289="","",IF(ISNA(MATCH(A289,Products!$A:$A,0)),"NAME NOT IN PRODUCTS",IF(D289="","ADD STORE SKU",IF(LEFT(D289,2)&lt;&gt;"v-","CHECK: STORE SKU STARTS WITH v-",IF(COUNTIF($D:$D,D289)&gt;1,"DUPLICATE STORE SKU",IF(COUNTIFS($A:$A,A289,$B:$B,B289,$C:$C,C289)&gt;1,"DUPLICATE COLOUR + SIZE","OK"))))))</f>
        <v/>
      </c>
    </row>
    <row r="290">
      <c r="A290" s="9" t="n"/>
      <c r="B290" s="9" t="n"/>
      <c r="C290" s="9" t="n"/>
      <c r="D290" s="9" t="n"/>
      <c r="E290" s="11" t="n"/>
      <c r="F290" s="13" t="n"/>
      <c r="G290" s="11" t="n"/>
      <c r="H290" s="13" t="n"/>
      <c r="I290" s="14">
        <f>IF(A290="","",IF(F290&lt;&gt;"",F290,IFERROR(INDEX(Products!$C:$C,MATCH(A290,Products!$A:$A,0)),"")))</f>
        <v/>
      </c>
      <c r="J290" s="14">
        <f>IF(OR(I290="",H290=""),"",I290-H290)</f>
        <v/>
      </c>
      <c r="K290" s="12">
        <f>IF(A290="","",IF(ISNA(MATCH(A290,Products!$A:$A,0)),"NAME NOT IN PRODUCTS",IF(D290="","ADD STORE SKU",IF(LEFT(D290,2)&lt;&gt;"v-","CHECK: STORE SKU STARTS WITH v-",IF(COUNTIF($D:$D,D290)&gt;1,"DUPLICATE STORE SKU",IF(COUNTIFS($A:$A,A290,$B:$B,B290,$C:$C,C290)&gt;1,"DUPLICATE COLOUR + SIZE","OK"))))))</f>
        <v/>
      </c>
    </row>
    <row r="291">
      <c r="A291" s="9" t="n"/>
      <c r="B291" s="9" t="n"/>
      <c r="C291" s="9" t="n"/>
      <c r="D291" s="9" t="n"/>
      <c r="E291" s="11" t="n"/>
      <c r="F291" s="13" t="n"/>
      <c r="G291" s="11" t="n"/>
      <c r="H291" s="13" t="n"/>
      <c r="I291" s="14">
        <f>IF(A291="","",IF(F291&lt;&gt;"",F291,IFERROR(INDEX(Products!$C:$C,MATCH(A291,Products!$A:$A,0)),"")))</f>
        <v/>
      </c>
      <c r="J291" s="14">
        <f>IF(OR(I291="",H291=""),"",I291-H291)</f>
        <v/>
      </c>
      <c r="K291" s="12">
        <f>IF(A291="","",IF(ISNA(MATCH(A291,Products!$A:$A,0)),"NAME NOT IN PRODUCTS",IF(D291="","ADD STORE SKU",IF(LEFT(D291,2)&lt;&gt;"v-","CHECK: STORE SKU STARTS WITH v-",IF(COUNTIF($D:$D,D291)&gt;1,"DUPLICATE STORE SKU",IF(COUNTIFS($A:$A,A291,$B:$B,B291,$C:$C,C291)&gt;1,"DUPLICATE COLOUR + SIZE","OK"))))))</f>
        <v/>
      </c>
    </row>
    <row r="292">
      <c r="A292" s="9" t="n"/>
      <c r="B292" s="9" t="n"/>
      <c r="C292" s="9" t="n"/>
      <c r="D292" s="9" t="n"/>
      <c r="E292" s="11" t="n"/>
      <c r="F292" s="13" t="n"/>
      <c r="G292" s="11" t="n"/>
      <c r="H292" s="13" t="n"/>
      <c r="I292" s="14">
        <f>IF(A292="","",IF(F292&lt;&gt;"",F292,IFERROR(INDEX(Products!$C:$C,MATCH(A292,Products!$A:$A,0)),"")))</f>
        <v/>
      </c>
      <c r="J292" s="14">
        <f>IF(OR(I292="",H292=""),"",I292-H292)</f>
        <v/>
      </c>
      <c r="K292" s="12">
        <f>IF(A292="","",IF(ISNA(MATCH(A292,Products!$A:$A,0)),"NAME NOT IN PRODUCTS",IF(D292="","ADD STORE SKU",IF(LEFT(D292,2)&lt;&gt;"v-","CHECK: STORE SKU STARTS WITH v-",IF(COUNTIF($D:$D,D292)&gt;1,"DUPLICATE STORE SKU",IF(COUNTIFS($A:$A,A292,$B:$B,B292,$C:$C,C292)&gt;1,"DUPLICATE COLOUR + SIZE","OK"))))))</f>
        <v/>
      </c>
    </row>
    <row r="293">
      <c r="A293" s="9" t="n"/>
      <c r="B293" s="9" t="n"/>
      <c r="C293" s="9" t="n"/>
      <c r="D293" s="9" t="n"/>
      <c r="E293" s="11" t="n"/>
      <c r="F293" s="13" t="n"/>
      <c r="G293" s="11" t="n"/>
      <c r="H293" s="13" t="n"/>
      <c r="I293" s="14">
        <f>IF(A293="","",IF(F293&lt;&gt;"",F293,IFERROR(INDEX(Products!$C:$C,MATCH(A293,Products!$A:$A,0)),"")))</f>
        <v/>
      </c>
      <c r="J293" s="14">
        <f>IF(OR(I293="",H293=""),"",I293-H293)</f>
        <v/>
      </c>
      <c r="K293" s="12">
        <f>IF(A293="","",IF(ISNA(MATCH(A293,Products!$A:$A,0)),"NAME NOT IN PRODUCTS",IF(D293="","ADD STORE SKU",IF(LEFT(D293,2)&lt;&gt;"v-","CHECK: STORE SKU STARTS WITH v-",IF(COUNTIF($D:$D,D293)&gt;1,"DUPLICATE STORE SKU",IF(COUNTIFS($A:$A,A293,$B:$B,B293,$C:$C,C293)&gt;1,"DUPLICATE COLOUR + SIZE","OK"))))))</f>
        <v/>
      </c>
    </row>
    <row r="294">
      <c r="A294" s="9" t="n"/>
      <c r="B294" s="9" t="n"/>
      <c r="C294" s="9" t="n"/>
      <c r="D294" s="9" t="n"/>
      <c r="E294" s="11" t="n"/>
      <c r="F294" s="13" t="n"/>
      <c r="G294" s="11" t="n"/>
      <c r="H294" s="13" t="n"/>
      <c r="I294" s="14">
        <f>IF(A294="","",IF(F294&lt;&gt;"",F294,IFERROR(INDEX(Products!$C:$C,MATCH(A294,Products!$A:$A,0)),"")))</f>
        <v/>
      </c>
      <c r="J294" s="14">
        <f>IF(OR(I294="",H294=""),"",I294-H294)</f>
        <v/>
      </c>
      <c r="K294" s="12">
        <f>IF(A294="","",IF(ISNA(MATCH(A294,Products!$A:$A,0)),"NAME NOT IN PRODUCTS",IF(D294="","ADD STORE SKU",IF(LEFT(D294,2)&lt;&gt;"v-","CHECK: STORE SKU STARTS WITH v-",IF(COUNTIF($D:$D,D294)&gt;1,"DUPLICATE STORE SKU",IF(COUNTIFS($A:$A,A294,$B:$B,B294,$C:$C,C294)&gt;1,"DUPLICATE COLOUR + SIZE","OK"))))))</f>
        <v/>
      </c>
    </row>
    <row r="295">
      <c r="A295" s="9" t="n"/>
      <c r="B295" s="9" t="n"/>
      <c r="C295" s="9" t="n"/>
      <c r="D295" s="9" t="n"/>
      <c r="E295" s="11" t="n"/>
      <c r="F295" s="13" t="n"/>
      <c r="G295" s="11" t="n"/>
      <c r="H295" s="13" t="n"/>
      <c r="I295" s="14">
        <f>IF(A295="","",IF(F295&lt;&gt;"",F295,IFERROR(INDEX(Products!$C:$C,MATCH(A295,Products!$A:$A,0)),"")))</f>
        <v/>
      </c>
      <c r="J295" s="14">
        <f>IF(OR(I295="",H295=""),"",I295-H295)</f>
        <v/>
      </c>
      <c r="K295" s="12">
        <f>IF(A295="","",IF(ISNA(MATCH(A295,Products!$A:$A,0)),"NAME NOT IN PRODUCTS",IF(D295="","ADD STORE SKU",IF(LEFT(D295,2)&lt;&gt;"v-","CHECK: STORE SKU STARTS WITH v-",IF(COUNTIF($D:$D,D295)&gt;1,"DUPLICATE STORE SKU",IF(COUNTIFS($A:$A,A295,$B:$B,B295,$C:$C,C295)&gt;1,"DUPLICATE COLOUR + SIZE","OK"))))))</f>
        <v/>
      </c>
    </row>
    <row r="296">
      <c r="A296" s="9" t="n"/>
      <c r="B296" s="9" t="n"/>
      <c r="C296" s="9" t="n"/>
      <c r="D296" s="9" t="n"/>
      <c r="E296" s="11" t="n"/>
      <c r="F296" s="13" t="n"/>
      <c r="G296" s="11" t="n"/>
      <c r="H296" s="13" t="n"/>
      <c r="I296" s="14">
        <f>IF(A296="","",IF(F296&lt;&gt;"",F296,IFERROR(INDEX(Products!$C:$C,MATCH(A296,Products!$A:$A,0)),"")))</f>
        <v/>
      </c>
      <c r="J296" s="14">
        <f>IF(OR(I296="",H296=""),"",I296-H296)</f>
        <v/>
      </c>
      <c r="K296" s="12">
        <f>IF(A296="","",IF(ISNA(MATCH(A296,Products!$A:$A,0)),"NAME NOT IN PRODUCTS",IF(D296="","ADD STORE SKU",IF(LEFT(D296,2)&lt;&gt;"v-","CHECK: STORE SKU STARTS WITH v-",IF(COUNTIF($D:$D,D296)&gt;1,"DUPLICATE STORE SKU",IF(COUNTIFS($A:$A,A296,$B:$B,B296,$C:$C,C296)&gt;1,"DUPLICATE COLOUR + SIZE","OK"))))))</f>
        <v/>
      </c>
    </row>
    <row r="297">
      <c r="A297" s="9" t="n"/>
      <c r="B297" s="9" t="n"/>
      <c r="C297" s="9" t="n"/>
      <c r="D297" s="9" t="n"/>
      <c r="E297" s="11" t="n"/>
      <c r="F297" s="13" t="n"/>
      <c r="G297" s="11" t="n"/>
      <c r="H297" s="13" t="n"/>
      <c r="I297" s="14">
        <f>IF(A297="","",IF(F297&lt;&gt;"",F297,IFERROR(INDEX(Products!$C:$C,MATCH(A297,Products!$A:$A,0)),"")))</f>
        <v/>
      </c>
      <c r="J297" s="14">
        <f>IF(OR(I297="",H297=""),"",I297-H297)</f>
        <v/>
      </c>
      <c r="K297" s="12">
        <f>IF(A297="","",IF(ISNA(MATCH(A297,Products!$A:$A,0)),"NAME NOT IN PRODUCTS",IF(D297="","ADD STORE SKU",IF(LEFT(D297,2)&lt;&gt;"v-","CHECK: STORE SKU STARTS WITH v-",IF(COUNTIF($D:$D,D297)&gt;1,"DUPLICATE STORE SKU",IF(COUNTIFS($A:$A,A297,$B:$B,B297,$C:$C,C297)&gt;1,"DUPLICATE COLOUR + SIZE","OK"))))))</f>
        <v/>
      </c>
    </row>
    <row r="298">
      <c r="A298" s="9" t="n"/>
      <c r="B298" s="9" t="n"/>
      <c r="C298" s="9" t="n"/>
      <c r="D298" s="9" t="n"/>
      <c r="E298" s="11" t="n"/>
      <c r="F298" s="13" t="n"/>
      <c r="G298" s="11" t="n"/>
      <c r="H298" s="13" t="n"/>
      <c r="I298" s="14">
        <f>IF(A298="","",IF(F298&lt;&gt;"",F298,IFERROR(INDEX(Products!$C:$C,MATCH(A298,Products!$A:$A,0)),"")))</f>
        <v/>
      </c>
      <c r="J298" s="14">
        <f>IF(OR(I298="",H298=""),"",I298-H298)</f>
        <v/>
      </c>
      <c r="K298" s="12">
        <f>IF(A298="","",IF(ISNA(MATCH(A298,Products!$A:$A,0)),"NAME NOT IN PRODUCTS",IF(D298="","ADD STORE SKU",IF(LEFT(D298,2)&lt;&gt;"v-","CHECK: STORE SKU STARTS WITH v-",IF(COUNTIF($D:$D,D298)&gt;1,"DUPLICATE STORE SKU",IF(COUNTIFS($A:$A,A298,$B:$B,B298,$C:$C,C298)&gt;1,"DUPLICATE COLOUR + SIZE","OK"))))))</f>
        <v/>
      </c>
    </row>
    <row r="299">
      <c r="A299" s="9" t="n"/>
      <c r="B299" s="9" t="n"/>
      <c r="C299" s="9" t="n"/>
      <c r="D299" s="9" t="n"/>
      <c r="E299" s="11" t="n"/>
      <c r="F299" s="13" t="n"/>
      <c r="G299" s="11" t="n"/>
      <c r="H299" s="13" t="n"/>
      <c r="I299" s="14">
        <f>IF(A299="","",IF(F299&lt;&gt;"",F299,IFERROR(INDEX(Products!$C:$C,MATCH(A299,Products!$A:$A,0)),"")))</f>
        <v/>
      </c>
      <c r="J299" s="14">
        <f>IF(OR(I299="",H299=""),"",I299-H299)</f>
        <v/>
      </c>
      <c r="K299" s="12">
        <f>IF(A299="","",IF(ISNA(MATCH(A299,Products!$A:$A,0)),"NAME NOT IN PRODUCTS",IF(D299="","ADD STORE SKU",IF(LEFT(D299,2)&lt;&gt;"v-","CHECK: STORE SKU STARTS WITH v-",IF(COUNTIF($D:$D,D299)&gt;1,"DUPLICATE STORE SKU",IF(COUNTIFS($A:$A,A299,$B:$B,B299,$C:$C,C299)&gt;1,"DUPLICATE COLOUR + SIZE","OK"))))))</f>
        <v/>
      </c>
    </row>
    <row r="300">
      <c r="A300" s="9" t="n"/>
      <c r="B300" s="9" t="n"/>
      <c r="C300" s="9" t="n"/>
      <c r="D300" s="9" t="n"/>
      <c r="E300" s="11" t="n"/>
      <c r="F300" s="13" t="n"/>
      <c r="G300" s="11" t="n"/>
      <c r="H300" s="13" t="n"/>
      <c r="I300" s="14">
        <f>IF(A300="","",IF(F300&lt;&gt;"",F300,IFERROR(INDEX(Products!$C:$C,MATCH(A300,Products!$A:$A,0)),"")))</f>
        <v/>
      </c>
      <c r="J300" s="14">
        <f>IF(OR(I300="",H300=""),"",I300-H300)</f>
        <v/>
      </c>
      <c r="K300" s="12">
        <f>IF(A300="","",IF(ISNA(MATCH(A300,Products!$A:$A,0)),"NAME NOT IN PRODUCTS",IF(D300="","ADD STORE SKU",IF(LEFT(D300,2)&lt;&gt;"v-","CHECK: STORE SKU STARTS WITH v-",IF(COUNTIF($D:$D,D300)&gt;1,"DUPLICATE STORE SKU",IF(COUNTIFS($A:$A,A300,$B:$B,B300,$C:$C,C300)&gt;1,"DUPLICATE COLOUR + SIZE","OK"))))))</f>
        <v/>
      </c>
    </row>
    <row r="301">
      <c r="A301" s="9" t="n"/>
      <c r="B301" s="9" t="n"/>
      <c r="C301" s="9" t="n"/>
      <c r="D301" s="9" t="n"/>
      <c r="E301" s="11" t="n"/>
      <c r="F301" s="13" t="n"/>
      <c r="G301" s="11" t="n"/>
      <c r="H301" s="13" t="n"/>
      <c r="I301" s="14">
        <f>IF(A301="","",IF(F301&lt;&gt;"",F301,IFERROR(INDEX(Products!$C:$C,MATCH(A301,Products!$A:$A,0)),"")))</f>
        <v/>
      </c>
      <c r="J301" s="14">
        <f>IF(OR(I301="",H301=""),"",I301-H301)</f>
        <v/>
      </c>
      <c r="K301" s="12">
        <f>IF(A301="","",IF(ISNA(MATCH(A301,Products!$A:$A,0)),"NAME NOT IN PRODUCTS",IF(D301="","ADD STORE SKU",IF(LEFT(D301,2)&lt;&gt;"v-","CHECK: STORE SKU STARTS WITH v-",IF(COUNTIF($D:$D,D301)&gt;1,"DUPLICATE STORE SKU",IF(COUNTIFS($A:$A,A301,$B:$B,B301,$C:$C,C301)&gt;1,"DUPLICATE COLOUR + SIZE","OK"))))))</f>
        <v/>
      </c>
    </row>
    <row r="302">
      <c r="A302" s="9" t="n"/>
      <c r="B302" s="9" t="n"/>
      <c r="C302" s="9" t="n"/>
      <c r="D302" s="9" t="n"/>
      <c r="E302" s="11" t="n"/>
      <c r="F302" s="13" t="n"/>
      <c r="G302" s="11" t="n"/>
      <c r="H302" s="13" t="n"/>
      <c r="I302" s="14">
        <f>IF(A302="","",IF(F302&lt;&gt;"",F302,IFERROR(INDEX(Products!$C:$C,MATCH(A302,Products!$A:$A,0)),"")))</f>
        <v/>
      </c>
      <c r="J302" s="14">
        <f>IF(OR(I302="",H302=""),"",I302-H302)</f>
        <v/>
      </c>
      <c r="K302" s="12">
        <f>IF(A302="","",IF(ISNA(MATCH(A302,Products!$A:$A,0)),"NAME NOT IN PRODUCTS",IF(D302="","ADD STORE SKU",IF(LEFT(D302,2)&lt;&gt;"v-","CHECK: STORE SKU STARTS WITH v-",IF(COUNTIF($D:$D,D302)&gt;1,"DUPLICATE STORE SKU",IF(COUNTIFS($A:$A,A302,$B:$B,B302,$C:$C,C302)&gt;1,"DUPLICATE COLOUR + SIZE","OK"))))))</f>
        <v/>
      </c>
    </row>
    <row r="303">
      <c r="A303" s="9" t="n"/>
      <c r="B303" s="9" t="n"/>
      <c r="C303" s="9" t="n"/>
      <c r="D303" s="9" t="n"/>
      <c r="E303" s="11" t="n"/>
      <c r="F303" s="13" t="n"/>
      <c r="G303" s="11" t="n"/>
      <c r="H303" s="13" t="n"/>
      <c r="I303" s="14">
        <f>IF(A303="","",IF(F303&lt;&gt;"",F303,IFERROR(INDEX(Products!$C:$C,MATCH(A303,Products!$A:$A,0)),"")))</f>
        <v/>
      </c>
      <c r="J303" s="14">
        <f>IF(OR(I303="",H303=""),"",I303-H303)</f>
        <v/>
      </c>
      <c r="K303" s="12">
        <f>IF(A303="","",IF(ISNA(MATCH(A303,Products!$A:$A,0)),"NAME NOT IN PRODUCTS",IF(D303="","ADD STORE SKU",IF(LEFT(D303,2)&lt;&gt;"v-","CHECK: STORE SKU STARTS WITH v-",IF(COUNTIF($D:$D,D303)&gt;1,"DUPLICATE STORE SKU",IF(COUNTIFS($A:$A,A303,$B:$B,B303,$C:$C,C303)&gt;1,"DUPLICATE COLOUR + SIZE","OK"))))))</f>
        <v/>
      </c>
    </row>
    <row r="304">
      <c r="A304" s="9" t="n"/>
      <c r="B304" s="9" t="n"/>
      <c r="C304" s="9" t="n"/>
      <c r="D304" s="9" t="n"/>
      <c r="E304" s="11" t="n"/>
      <c r="F304" s="13" t="n"/>
      <c r="G304" s="11" t="n"/>
      <c r="H304" s="13" t="n"/>
      <c r="I304" s="14">
        <f>IF(A304="","",IF(F304&lt;&gt;"",F304,IFERROR(INDEX(Products!$C:$C,MATCH(A304,Products!$A:$A,0)),"")))</f>
        <v/>
      </c>
      <c r="J304" s="14">
        <f>IF(OR(I304="",H304=""),"",I304-H304)</f>
        <v/>
      </c>
      <c r="K304" s="12">
        <f>IF(A304="","",IF(ISNA(MATCH(A304,Products!$A:$A,0)),"NAME NOT IN PRODUCTS",IF(D304="","ADD STORE SKU",IF(LEFT(D304,2)&lt;&gt;"v-","CHECK: STORE SKU STARTS WITH v-",IF(COUNTIF($D:$D,D304)&gt;1,"DUPLICATE STORE SKU",IF(COUNTIFS($A:$A,A304,$B:$B,B304,$C:$C,C304)&gt;1,"DUPLICATE COLOUR + SIZE","OK"))))))</f>
        <v/>
      </c>
    </row>
    <row r="305">
      <c r="A305" s="9" t="n"/>
      <c r="B305" s="9" t="n"/>
      <c r="C305" s="9" t="n"/>
      <c r="D305" s="9" t="n"/>
      <c r="E305" s="11" t="n"/>
      <c r="F305" s="13" t="n"/>
      <c r="G305" s="11" t="n"/>
      <c r="H305" s="13" t="n"/>
      <c r="I305" s="14">
        <f>IF(A305="","",IF(F305&lt;&gt;"",F305,IFERROR(INDEX(Products!$C:$C,MATCH(A305,Products!$A:$A,0)),"")))</f>
        <v/>
      </c>
      <c r="J305" s="14">
        <f>IF(OR(I305="",H305=""),"",I305-H305)</f>
        <v/>
      </c>
      <c r="K305" s="12">
        <f>IF(A305="","",IF(ISNA(MATCH(A305,Products!$A:$A,0)),"NAME NOT IN PRODUCTS",IF(D305="","ADD STORE SKU",IF(LEFT(D305,2)&lt;&gt;"v-","CHECK: STORE SKU STARTS WITH v-",IF(COUNTIF($D:$D,D305)&gt;1,"DUPLICATE STORE SKU",IF(COUNTIFS($A:$A,A305,$B:$B,B305,$C:$C,C305)&gt;1,"DUPLICATE COLOUR + SIZE","OK"))))))</f>
        <v/>
      </c>
    </row>
    <row r="306">
      <c r="A306" s="9" t="n"/>
      <c r="B306" s="9" t="n"/>
      <c r="C306" s="9" t="n"/>
      <c r="D306" s="9" t="n"/>
      <c r="E306" s="11" t="n"/>
      <c r="F306" s="13" t="n"/>
      <c r="G306" s="11" t="n"/>
      <c r="H306" s="13" t="n"/>
      <c r="I306" s="14">
        <f>IF(A306="","",IF(F306&lt;&gt;"",F306,IFERROR(INDEX(Products!$C:$C,MATCH(A306,Products!$A:$A,0)),"")))</f>
        <v/>
      </c>
      <c r="J306" s="14">
        <f>IF(OR(I306="",H306=""),"",I306-H306)</f>
        <v/>
      </c>
      <c r="K306" s="12">
        <f>IF(A306="","",IF(ISNA(MATCH(A306,Products!$A:$A,0)),"NAME NOT IN PRODUCTS",IF(D306="","ADD STORE SKU",IF(LEFT(D306,2)&lt;&gt;"v-","CHECK: STORE SKU STARTS WITH v-",IF(COUNTIF($D:$D,D306)&gt;1,"DUPLICATE STORE SKU",IF(COUNTIFS($A:$A,A306,$B:$B,B306,$C:$C,C306)&gt;1,"DUPLICATE COLOUR + SIZE","OK"))))))</f>
        <v/>
      </c>
    </row>
    <row r="307">
      <c r="A307" s="9" t="n"/>
      <c r="B307" s="9" t="n"/>
      <c r="C307" s="9" t="n"/>
      <c r="D307" s="9" t="n"/>
      <c r="E307" s="11" t="n"/>
      <c r="F307" s="13" t="n"/>
      <c r="G307" s="11" t="n"/>
      <c r="H307" s="13" t="n"/>
      <c r="I307" s="14">
        <f>IF(A307="","",IF(F307&lt;&gt;"",F307,IFERROR(INDEX(Products!$C:$C,MATCH(A307,Products!$A:$A,0)),"")))</f>
        <v/>
      </c>
      <c r="J307" s="14">
        <f>IF(OR(I307="",H307=""),"",I307-H307)</f>
        <v/>
      </c>
      <c r="K307" s="12">
        <f>IF(A307="","",IF(ISNA(MATCH(A307,Products!$A:$A,0)),"NAME NOT IN PRODUCTS",IF(D307="","ADD STORE SKU",IF(LEFT(D307,2)&lt;&gt;"v-","CHECK: STORE SKU STARTS WITH v-",IF(COUNTIF($D:$D,D307)&gt;1,"DUPLICATE STORE SKU",IF(COUNTIFS($A:$A,A307,$B:$B,B307,$C:$C,C307)&gt;1,"DUPLICATE COLOUR + SIZE","OK"))))))</f>
        <v/>
      </c>
    </row>
    <row r="308">
      <c r="A308" s="9" t="n"/>
      <c r="B308" s="9" t="n"/>
      <c r="C308" s="9" t="n"/>
      <c r="D308" s="9" t="n"/>
      <c r="E308" s="11" t="n"/>
      <c r="F308" s="13" t="n"/>
      <c r="G308" s="11" t="n"/>
      <c r="H308" s="13" t="n"/>
      <c r="I308" s="14">
        <f>IF(A308="","",IF(F308&lt;&gt;"",F308,IFERROR(INDEX(Products!$C:$C,MATCH(A308,Products!$A:$A,0)),"")))</f>
        <v/>
      </c>
      <c r="J308" s="14">
        <f>IF(OR(I308="",H308=""),"",I308-H308)</f>
        <v/>
      </c>
      <c r="K308" s="12">
        <f>IF(A308="","",IF(ISNA(MATCH(A308,Products!$A:$A,0)),"NAME NOT IN PRODUCTS",IF(D308="","ADD STORE SKU",IF(LEFT(D308,2)&lt;&gt;"v-","CHECK: STORE SKU STARTS WITH v-",IF(COUNTIF($D:$D,D308)&gt;1,"DUPLICATE STORE SKU",IF(COUNTIFS($A:$A,A308,$B:$B,B308,$C:$C,C308)&gt;1,"DUPLICATE COLOUR + SIZE","OK"))))))</f>
        <v/>
      </c>
    </row>
    <row r="309">
      <c r="A309" s="9" t="n"/>
      <c r="B309" s="9" t="n"/>
      <c r="C309" s="9" t="n"/>
      <c r="D309" s="9" t="n"/>
      <c r="E309" s="11" t="n"/>
      <c r="F309" s="13" t="n"/>
      <c r="G309" s="11" t="n"/>
      <c r="H309" s="13" t="n"/>
      <c r="I309" s="14">
        <f>IF(A309="","",IF(F309&lt;&gt;"",F309,IFERROR(INDEX(Products!$C:$C,MATCH(A309,Products!$A:$A,0)),"")))</f>
        <v/>
      </c>
      <c r="J309" s="14">
        <f>IF(OR(I309="",H309=""),"",I309-H309)</f>
        <v/>
      </c>
      <c r="K309" s="12">
        <f>IF(A309="","",IF(ISNA(MATCH(A309,Products!$A:$A,0)),"NAME NOT IN PRODUCTS",IF(D309="","ADD STORE SKU",IF(LEFT(D309,2)&lt;&gt;"v-","CHECK: STORE SKU STARTS WITH v-",IF(COUNTIF($D:$D,D309)&gt;1,"DUPLICATE STORE SKU",IF(COUNTIFS($A:$A,A309,$B:$B,B309,$C:$C,C309)&gt;1,"DUPLICATE COLOUR + SIZE","OK"))))))</f>
        <v/>
      </c>
    </row>
    <row r="310">
      <c r="A310" s="9" t="n"/>
      <c r="B310" s="9" t="n"/>
      <c r="C310" s="9" t="n"/>
      <c r="D310" s="9" t="n"/>
      <c r="E310" s="11" t="n"/>
      <c r="F310" s="13" t="n"/>
      <c r="G310" s="11" t="n"/>
      <c r="H310" s="13" t="n"/>
      <c r="I310" s="14">
        <f>IF(A310="","",IF(F310&lt;&gt;"",F310,IFERROR(INDEX(Products!$C:$C,MATCH(A310,Products!$A:$A,0)),"")))</f>
        <v/>
      </c>
      <c r="J310" s="14">
        <f>IF(OR(I310="",H310=""),"",I310-H310)</f>
        <v/>
      </c>
      <c r="K310" s="12">
        <f>IF(A310="","",IF(ISNA(MATCH(A310,Products!$A:$A,0)),"NAME NOT IN PRODUCTS",IF(D310="","ADD STORE SKU",IF(LEFT(D310,2)&lt;&gt;"v-","CHECK: STORE SKU STARTS WITH v-",IF(COUNTIF($D:$D,D310)&gt;1,"DUPLICATE STORE SKU",IF(COUNTIFS($A:$A,A310,$B:$B,B310,$C:$C,C310)&gt;1,"DUPLICATE COLOUR + SIZE","OK"))))))</f>
        <v/>
      </c>
    </row>
    <row r="311">
      <c r="A311" s="9" t="n"/>
      <c r="B311" s="9" t="n"/>
      <c r="C311" s="9" t="n"/>
      <c r="D311" s="9" t="n"/>
      <c r="E311" s="11" t="n"/>
      <c r="F311" s="13" t="n"/>
      <c r="G311" s="11" t="n"/>
      <c r="H311" s="13" t="n"/>
      <c r="I311" s="14">
        <f>IF(A311="","",IF(F311&lt;&gt;"",F311,IFERROR(INDEX(Products!$C:$C,MATCH(A311,Products!$A:$A,0)),"")))</f>
        <v/>
      </c>
      <c r="J311" s="14">
        <f>IF(OR(I311="",H311=""),"",I311-H311)</f>
        <v/>
      </c>
      <c r="K311" s="12">
        <f>IF(A311="","",IF(ISNA(MATCH(A311,Products!$A:$A,0)),"NAME NOT IN PRODUCTS",IF(D311="","ADD STORE SKU",IF(LEFT(D311,2)&lt;&gt;"v-","CHECK: STORE SKU STARTS WITH v-",IF(COUNTIF($D:$D,D311)&gt;1,"DUPLICATE STORE SKU",IF(COUNTIFS($A:$A,A311,$B:$B,B311,$C:$C,C311)&gt;1,"DUPLICATE COLOUR + SIZE","OK"))))))</f>
        <v/>
      </c>
    </row>
    <row r="312">
      <c r="A312" s="9" t="n"/>
      <c r="B312" s="9" t="n"/>
      <c r="C312" s="9" t="n"/>
      <c r="D312" s="9" t="n"/>
      <c r="E312" s="11" t="n"/>
      <c r="F312" s="13" t="n"/>
      <c r="G312" s="11" t="n"/>
      <c r="H312" s="13" t="n"/>
      <c r="I312" s="14">
        <f>IF(A312="","",IF(F312&lt;&gt;"",F312,IFERROR(INDEX(Products!$C:$C,MATCH(A312,Products!$A:$A,0)),"")))</f>
        <v/>
      </c>
      <c r="J312" s="14">
        <f>IF(OR(I312="",H312=""),"",I312-H312)</f>
        <v/>
      </c>
      <c r="K312" s="12">
        <f>IF(A312="","",IF(ISNA(MATCH(A312,Products!$A:$A,0)),"NAME NOT IN PRODUCTS",IF(D312="","ADD STORE SKU",IF(LEFT(D312,2)&lt;&gt;"v-","CHECK: STORE SKU STARTS WITH v-",IF(COUNTIF($D:$D,D312)&gt;1,"DUPLICATE STORE SKU",IF(COUNTIFS($A:$A,A312,$B:$B,B312,$C:$C,C312)&gt;1,"DUPLICATE COLOUR + SIZE","OK"))))))</f>
        <v/>
      </c>
    </row>
    <row r="313">
      <c r="A313" s="9" t="n"/>
      <c r="B313" s="9" t="n"/>
      <c r="C313" s="9" t="n"/>
      <c r="D313" s="9" t="n"/>
      <c r="E313" s="11" t="n"/>
      <c r="F313" s="13" t="n"/>
      <c r="G313" s="11" t="n"/>
      <c r="H313" s="13" t="n"/>
      <c r="I313" s="14">
        <f>IF(A313="","",IF(F313&lt;&gt;"",F313,IFERROR(INDEX(Products!$C:$C,MATCH(A313,Products!$A:$A,0)),"")))</f>
        <v/>
      </c>
      <c r="J313" s="14">
        <f>IF(OR(I313="",H313=""),"",I313-H313)</f>
        <v/>
      </c>
      <c r="K313" s="12">
        <f>IF(A313="","",IF(ISNA(MATCH(A313,Products!$A:$A,0)),"NAME NOT IN PRODUCTS",IF(D313="","ADD STORE SKU",IF(LEFT(D313,2)&lt;&gt;"v-","CHECK: STORE SKU STARTS WITH v-",IF(COUNTIF($D:$D,D313)&gt;1,"DUPLICATE STORE SKU",IF(COUNTIFS($A:$A,A313,$B:$B,B313,$C:$C,C313)&gt;1,"DUPLICATE COLOUR + SIZE","OK"))))))</f>
        <v/>
      </c>
    </row>
    <row r="314">
      <c r="A314" s="9" t="n"/>
      <c r="B314" s="9" t="n"/>
      <c r="C314" s="9" t="n"/>
      <c r="D314" s="9" t="n"/>
      <c r="E314" s="11" t="n"/>
      <c r="F314" s="13" t="n"/>
      <c r="G314" s="11" t="n"/>
      <c r="H314" s="13" t="n"/>
      <c r="I314" s="14">
        <f>IF(A314="","",IF(F314&lt;&gt;"",F314,IFERROR(INDEX(Products!$C:$C,MATCH(A314,Products!$A:$A,0)),"")))</f>
        <v/>
      </c>
      <c r="J314" s="14">
        <f>IF(OR(I314="",H314=""),"",I314-H314)</f>
        <v/>
      </c>
      <c r="K314" s="12">
        <f>IF(A314="","",IF(ISNA(MATCH(A314,Products!$A:$A,0)),"NAME NOT IN PRODUCTS",IF(D314="","ADD STORE SKU",IF(LEFT(D314,2)&lt;&gt;"v-","CHECK: STORE SKU STARTS WITH v-",IF(COUNTIF($D:$D,D314)&gt;1,"DUPLICATE STORE SKU",IF(COUNTIFS($A:$A,A314,$B:$B,B314,$C:$C,C314)&gt;1,"DUPLICATE COLOUR + SIZE","OK"))))))</f>
        <v/>
      </c>
    </row>
    <row r="315">
      <c r="A315" s="9" t="n"/>
      <c r="B315" s="9" t="n"/>
      <c r="C315" s="9" t="n"/>
      <c r="D315" s="9" t="n"/>
      <c r="E315" s="11" t="n"/>
      <c r="F315" s="13" t="n"/>
      <c r="G315" s="11" t="n"/>
      <c r="H315" s="13" t="n"/>
      <c r="I315" s="14">
        <f>IF(A315="","",IF(F315&lt;&gt;"",F315,IFERROR(INDEX(Products!$C:$C,MATCH(A315,Products!$A:$A,0)),"")))</f>
        <v/>
      </c>
      <c r="J315" s="14">
        <f>IF(OR(I315="",H315=""),"",I315-H315)</f>
        <v/>
      </c>
      <c r="K315" s="12">
        <f>IF(A315="","",IF(ISNA(MATCH(A315,Products!$A:$A,0)),"NAME NOT IN PRODUCTS",IF(D315="","ADD STORE SKU",IF(LEFT(D315,2)&lt;&gt;"v-","CHECK: STORE SKU STARTS WITH v-",IF(COUNTIF($D:$D,D315)&gt;1,"DUPLICATE STORE SKU",IF(COUNTIFS($A:$A,A315,$B:$B,B315,$C:$C,C315)&gt;1,"DUPLICATE COLOUR + SIZE","OK"))))))</f>
        <v/>
      </c>
    </row>
    <row r="316">
      <c r="A316" s="9" t="n"/>
      <c r="B316" s="9" t="n"/>
      <c r="C316" s="9" t="n"/>
      <c r="D316" s="9" t="n"/>
      <c r="E316" s="11" t="n"/>
      <c r="F316" s="13" t="n"/>
      <c r="G316" s="11" t="n"/>
      <c r="H316" s="13" t="n"/>
      <c r="I316" s="14">
        <f>IF(A316="","",IF(F316&lt;&gt;"",F316,IFERROR(INDEX(Products!$C:$C,MATCH(A316,Products!$A:$A,0)),"")))</f>
        <v/>
      </c>
      <c r="J316" s="14">
        <f>IF(OR(I316="",H316=""),"",I316-H316)</f>
        <v/>
      </c>
      <c r="K316" s="12">
        <f>IF(A316="","",IF(ISNA(MATCH(A316,Products!$A:$A,0)),"NAME NOT IN PRODUCTS",IF(D316="","ADD STORE SKU",IF(LEFT(D316,2)&lt;&gt;"v-","CHECK: STORE SKU STARTS WITH v-",IF(COUNTIF($D:$D,D316)&gt;1,"DUPLICATE STORE SKU",IF(COUNTIFS($A:$A,A316,$B:$B,B316,$C:$C,C316)&gt;1,"DUPLICATE COLOUR + SIZE","OK"))))))</f>
        <v/>
      </c>
    </row>
    <row r="317">
      <c r="A317" s="9" t="n"/>
      <c r="B317" s="9" t="n"/>
      <c r="C317" s="9" t="n"/>
      <c r="D317" s="9" t="n"/>
      <c r="E317" s="11" t="n"/>
      <c r="F317" s="13" t="n"/>
      <c r="G317" s="11" t="n"/>
      <c r="H317" s="13" t="n"/>
      <c r="I317" s="14">
        <f>IF(A317="","",IF(F317&lt;&gt;"",F317,IFERROR(INDEX(Products!$C:$C,MATCH(A317,Products!$A:$A,0)),"")))</f>
        <v/>
      </c>
      <c r="J317" s="14">
        <f>IF(OR(I317="",H317=""),"",I317-H317)</f>
        <v/>
      </c>
      <c r="K317" s="12">
        <f>IF(A317="","",IF(ISNA(MATCH(A317,Products!$A:$A,0)),"NAME NOT IN PRODUCTS",IF(D317="","ADD STORE SKU",IF(LEFT(D317,2)&lt;&gt;"v-","CHECK: STORE SKU STARTS WITH v-",IF(COUNTIF($D:$D,D317)&gt;1,"DUPLICATE STORE SKU",IF(COUNTIFS($A:$A,A317,$B:$B,B317,$C:$C,C317)&gt;1,"DUPLICATE COLOUR + SIZE","OK"))))))</f>
        <v/>
      </c>
    </row>
    <row r="318">
      <c r="A318" s="9" t="n"/>
      <c r="B318" s="9" t="n"/>
      <c r="C318" s="9" t="n"/>
      <c r="D318" s="9" t="n"/>
      <c r="E318" s="11" t="n"/>
      <c r="F318" s="13" t="n"/>
      <c r="G318" s="11" t="n"/>
      <c r="H318" s="13" t="n"/>
      <c r="I318" s="14">
        <f>IF(A318="","",IF(F318&lt;&gt;"",F318,IFERROR(INDEX(Products!$C:$C,MATCH(A318,Products!$A:$A,0)),"")))</f>
        <v/>
      </c>
      <c r="J318" s="14">
        <f>IF(OR(I318="",H318=""),"",I318-H318)</f>
        <v/>
      </c>
      <c r="K318" s="12">
        <f>IF(A318="","",IF(ISNA(MATCH(A318,Products!$A:$A,0)),"NAME NOT IN PRODUCTS",IF(D318="","ADD STORE SKU",IF(LEFT(D318,2)&lt;&gt;"v-","CHECK: STORE SKU STARTS WITH v-",IF(COUNTIF($D:$D,D318)&gt;1,"DUPLICATE STORE SKU",IF(COUNTIFS($A:$A,A318,$B:$B,B318,$C:$C,C318)&gt;1,"DUPLICATE COLOUR + SIZE","OK"))))))</f>
        <v/>
      </c>
    </row>
    <row r="319">
      <c r="A319" s="9" t="n"/>
      <c r="B319" s="9" t="n"/>
      <c r="C319" s="9" t="n"/>
      <c r="D319" s="9" t="n"/>
      <c r="E319" s="11" t="n"/>
      <c r="F319" s="13" t="n"/>
      <c r="G319" s="11" t="n"/>
      <c r="H319" s="13" t="n"/>
      <c r="I319" s="14">
        <f>IF(A319="","",IF(F319&lt;&gt;"",F319,IFERROR(INDEX(Products!$C:$C,MATCH(A319,Products!$A:$A,0)),"")))</f>
        <v/>
      </c>
      <c r="J319" s="14">
        <f>IF(OR(I319="",H319=""),"",I319-H319)</f>
        <v/>
      </c>
      <c r="K319" s="12">
        <f>IF(A319="","",IF(ISNA(MATCH(A319,Products!$A:$A,0)),"NAME NOT IN PRODUCTS",IF(D319="","ADD STORE SKU",IF(LEFT(D319,2)&lt;&gt;"v-","CHECK: STORE SKU STARTS WITH v-",IF(COUNTIF($D:$D,D319)&gt;1,"DUPLICATE STORE SKU",IF(COUNTIFS($A:$A,A319,$B:$B,B319,$C:$C,C319)&gt;1,"DUPLICATE COLOUR + SIZE","OK"))))))</f>
        <v/>
      </c>
    </row>
    <row r="320">
      <c r="A320" s="9" t="n"/>
      <c r="B320" s="9" t="n"/>
      <c r="C320" s="9" t="n"/>
      <c r="D320" s="9" t="n"/>
      <c r="E320" s="11" t="n"/>
      <c r="F320" s="13" t="n"/>
      <c r="G320" s="11" t="n"/>
      <c r="H320" s="13" t="n"/>
      <c r="I320" s="14">
        <f>IF(A320="","",IF(F320&lt;&gt;"",F320,IFERROR(INDEX(Products!$C:$C,MATCH(A320,Products!$A:$A,0)),"")))</f>
        <v/>
      </c>
      <c r="J320" s="14">
        <f>IF(OR(I320="",H320=""),"",I320-H320)</f>
        <v/>
      </c>
      <c r="K320" s="12">
        <f>IF(A320="","",IF(ISNA(MATCH(A320,Products!$A:$A,0)),"NAME NOT IN PRODUCTS",IF(D320="","ADD STORE SKU",IF(LEFT(D320,2)&lt;&gt;"v-","CHECK: STORE SKU STARTS WITH v-",IF(COUNTIF($D:$D,D320)&gt;1,"DUPLICATE STORE SKU",IF(COUNTIFS($A:$A,A320,$B:$B,B320,$C:$C,C320)&gt;1,"DUPLICATE COLOUR + SIZE","OK"))))))</f>
        <v/>
      </c>
    </row>
    <row r="321">
      <c r="A321" s="9" t="n"/>
      <c r="B321" s="9" t="n"/>
      <c r="C321" s="9" t="n"/>
      <c r="D321" s="9" t="n"/>
      <c r="E321" s="11" t="n"/>
      <c r="F321" s="13" t="n"/>
      <c r="G321" s="11" t="n"/>
      <c r="H321" s="13" t="n"/>
      <c r="I321" s="14">
        <f>IF(A321="","",IF(F321&lt;&gt;"",F321,IFERROR(INDEX(Products!$C:$C,MATCH(A321,Products!$A:$A,0)),"")))</f>
        <v/>
      </c>
      <c r="J321" s="14">
        <f>IF(OR(I321="",H321=""),"",I321-H321)</f>
        <v/>
      </c>
      <c r="K321" s="12">
        <f>IF(A321="","",IF(ISNA(MATCH(A321,Products!$A:$A,0)),"NAME NOT IN PRODUCTS",IF(D321="","ADD STORE SKU",IF(LEFT(D321,2)&lt;&gt;"v-","CHECK: STORE SKU STARTS WITH v-",IF(COUNTIF($D:$D,D321)&gt;1,"DUPLICATE STORE SKU",IF(COUNTIFS($A:$A,A321,$B:$B,B321,$C:$C,C321)&gt;1,"DUPLICATE COLOUR + SIZE","OK"))))))</f>
        <v/>
      </c>
    </row>
    <row r="322">
      <c r="A322" s="9" t="n"/>
      <c r="B322" s="9" t="n"/>
      <c r="C322" s="9" t="n"/>
      <c r="D322" s="9" t="n"/>
      <c r="E322" s="11" t="n"/>
      <c r="F322" s="13" t="n"/>
      <c r="G322" s="11" t="n"/>
      <c r="H322" s="13" t="n"/>
      <c r="I322" s="14">
        <f>IF(A322="","",IF(F322&lt;&gt;"",F322,IFERROR(INDEX(Products!$C:$C,MATCH(A322,Products!$A:$A,0)),"")))</f>
        <v/>
      </c>
      <c r="J322" s="14">
        <f>IF(OR(I322="",H322=""),"",I322-H322)</f>
        <v/>
      </c>
      <c r="K322" s="12">
        <f>IF(A322="","",IF(ISNA(MATCH(A322,Products!$A:$A,0)),"NAME NOT IN PRODUCTS",IF(D322="","ADD STORE SKU",IF(LEFT(D322,2)&lt;&gt;"v-","CHECK: STORE SKU STARTS WITH v-",IF(COUNTIF($D:$D,D322)&gt;1,"DUPLICATE STORE SKU",IF(COUNTIFS($A:$A,A322,$B:$B,B322,$C:$C,C322)&gt;1,"DUPLICATE COLOUR + SIZE","OK"))))))</f>
        <v/>
      </c>
    </row>
    <row r="323">
      <c r="A323" s="9" t="n"/>
      <c r="B323" s="9" t="n"/>
      <c r="C323" s="9" t="n"/>
      <c r="D323" s="9" t="n"/>
      <c r="E323" s="11" t="n"/>
      <c r="F323" s="13" t="n"/>
      <c r="G323" s="11" t="n"/>
      <c r="H323" s="13" t="n"/>
      <c r="I323" s="14">
        <f>IF(A323="","",IF(F323&lt;&gt;"",F323,IFERROR(INDEX(Products!$C:$C,MATCH(A323,Products!$A:$A,0)),"")))</f>
        <v/>
      </c>
      <c r="J323" s="14">
        <f>IF(OR(I323="",H323=""),"",I323-H323)</f>
        <v/>
      </c>
      <c r="K323" s="12">
        <f>IF(A323="","",IF(ISNA(MATCH(A323,Products!$A:$A,0)),"NAME NOT IN PRODUCTS",IF(D323="","ADD STORE SKU",IF(LEFT(D323,2)&lt;&gt;"v-","CHECK: STORE SKU STARTS WITH v-",IF(COUNTIF($D:$D,D323)&gt;1,"DUPLICATE STORE SKU",IF(COUNTIFS($A:$A,A323,$B:$B,B323,$C:$C,C323)&gt;1,"DUPLICATE COLOUR + SIZE","OK"))))))</f>
        <v/>
      </c>
    </row>
    <row r="324">
      <c r="A324" s="9" t="n"/>
      <c r="B324" s="9" t="n"/>
      <c r="C324" s="9" t="n"/>
      <c r="D324" s="9" t="n"/>
      <c r="E324" s="11" t="n"/>
      <c r="F324" s="13" t="n"/>
      <c r="G324" s="11" t="n"/>
      <c r="H324" s="13" t="n"/>
      <c r="I324" s="14">
        <f>IF(A324="","",IF(F324&lt;&gt;"",F324,IFERROR(INDEX(Products!$C:$C,MATCH(A324,Products!$A:$A,0)),"")))</f>
        <v/>
      </c>
      <c r="J324" s="14">
        <f>IF(OR(I324="",H324=""),"",I324-H324)</f>
        <v/>
      </c>
      <c r="K324" s="12">
        <f>IF(A324="","",IF(ISNA(MATCH(A324,Products!$A:$A,0)),"NAME NOT IN PRODUCTS",IF(D324="","ADD STORE SKU",IF(LEFT(D324,2)&lt;&gt;"v-","CHECK: STORE SKU STARTS WITH v-",IF(COUNTIF($D:$D,D324)&gt;1,"DUPLICATE STORE SKU",IF(COUNTIFS($A:$A,A324,$B:$B,B324,$C:$C,C324)&gt;1,"DUPLICATE COLOUR + SIZE","OK"))))))</f>
        <v/>
      </c>
    </row>
    <row r="325">
      <c r="A325" s="9" t="n"/>
      <c r="B325" s="9" t="n"/>
      <c r="C325" s="9" t="n"/>
      <c r="D325" s="9" t="n"/>
      <c r="E325" s="11" t="n"/>
      <c r="F325" s="13" t="n"/>
      <c r="G325" s="11" t="n"/>
      <c r="H325" s="13" t="n"/>
      <c r="I325" s="14">
        <f>IF(A325="","",IF(F325&lt;&gt;"",F325,IFERROR(INDEX(Products!$C:$C,MATCH(A325,Products!$A:$A,0)),"")))</f>
        <v/>
      </c>
      <c r="J325" s="14">
        <f>IF(OR(I325="",H325=""),"",I325-H325)</f>
        <v/>
      </c>
      <c r="K325" s="12">
        <f>IF(A325="","",IF(ISNA(MATCH(A325,Products!$A:$A,0)),"NAME NOT IN PRODUCTS",IF(D325="","ADD STORE SKU",IF(LEFT(D325,2)&lt;&gt;"v-","CHECK: STORE SKU STARTS WITH v-",IF(COUNTIF($D:$D,D325)&gt;1,"DUPLICATE STORE SKU",IF(COUNTIFS($A:$A,A325,$B:$B,B325,$C:$C,C325)&gt;1,"DUPLICATE COLOUR + SIZE","OK"))))))</f>
        <v/>
      </c>
    </row>
    <row r="326">
      <c r="A326" s="9" t="n"/>
      <c r="B326" s="9" t="n"/>
      <c r="C326" s="9" t="n"/>
      <c r="D326" s="9" t="n"/>
      <c r="E326" s="11" t="n"/>
      <c r="F326" s="13" t="n"/>
      <c r="G326" s="11" t="n"/>
      <c r="H326" s="13" t="n"/>
      <c r="I326" s="14">
        <f>IF(A326="","",IF(F326&lt;&gt;"",F326,IFERROR(INDEX(Products!$C:$C,MATCH(A326,Products!$A:$A,0)),"")))</f>
        <v/>
      </c>
      <c r="J326" s="14">
        <f>IF(OR(I326="",H326=""),"",I326-H326)</f>
        <v/>
      </c>
      <c r="K326" s="12">
        <f>IF(A326="","",IF(ISNA(MATCH(A326,Products!$A:$A,0)),"NAME NOT IN PRODUCTS",IF(D326="","ADD STORE SKU",IF(LEFT(D326,2)&lt;&gt;"v-","CHECK: STORE SKU STARTS WITH v-",IF(COUNTIF($D:$D,D326)&gt;1,"DUPLICATE STORE SKU",IF(COUNTIFS($A:$A,A326,$B:$B,B326,$C:$C,C326)&gt;1,"DUPLICATE COLOUR + SIZE","OK"))))))</f>
        <v/>
      </c>
    </row>
    <row r="327">
      <c r="A327" s="9" t="n"/>
      <c r="B327" s="9" t="n"/>
      <c r="C327" s="9" t="n"/>
      <c r="D327" s="9" t="n"/>
      <c r="E327" s="11" t="n"/>
      <c r="F327" s="13" t="n"/>
      <c r="G327" s="11" t="n"/>
      <c r="H327" s="13" t="n"/>
      <c r="I327" s="14">
        <f>IF(A327="","",IF(F327&lt;&gt;"",F327,IFERROR(INDEX(Products!$C:$C,MATCH(A327,Products!$A:$A,0)),"")))</f>
        <v/>
      </c>
      <c r="J327" s="14">
        <f>IF(OR(I327="",H327=""),"",I327-H327)</f>
        <v/>
      </c>
      <c r="K327" s="12">
        <f>IF(A327="","",IF(ISNA(MATCH(A327,Products!$A:$A,0)),"NAME NOT IN PRODUCTS",IF(D327="","ADD STORE SKU",IF(LEFT(D327,2)&lt;&gt;"v-","CHECK: STORE SKU STARTS WITH v-",IF(COUNTIF($D:$D,D327)&gt;1,"DUPLICATE STORE SKU",IF(COUNTIFS($A:$A,A327,$B:$B,B327,$C:$C,C327)&gt;1,"DUPLICATE COLOUR + SIZE","OK"))))))</f>
        <v/>
      </c>
    </row>
    <row r="328">
      <c r="A328" s="9" t="n"/>
      <c r="B328" s="9" t="n"/>
      <c r="C328" s="9" t="n"/>
      <c r="D328" s="9" t="n"/>
      <c r="E328" s="11" t="n"/>
      <c r="F328" s="13" t="n"/>
      <c r="G328" s="11" t="n"/>
      <c r="H328" s="13" t="n"/>
      <c r="I328" s="14">
        <f>IF(A328="","",IF(F328&lt;&gt;"",F328,IFERROR(INDEX(Products!$C:$C,MATCH(A328,Products!$A:$A,0)),"")))</f>
        <v/>
      </c>
      <c r="J328" s="14">
        <f>IF(OR(I328="",H328=""),"",I328-H328)</f>
        <v/>
      </c>
      <c r="K328" s="12">
        <f>IF(A328="","",IF(ISNA(MATCH(A328,Products!$A:$A,0)),"NAME NOT IN PRODUCTS",IF(D328="","ADD STORE SKU",IF(LEFT(D328,2)&lt;&gt;"v-","CHECK: STORE SKU STARTS WITH v-",IF(COUNTIF($D:$D,D328)&gt;1,"DUPLICATE STORE SKU",IF(COUNTIFS($A:$A,A328,$B:$B,B328,$C:$C,C328)&gt;1,"DUPLICATE COLOUR + SIZE","OK"))))))</f>
        <v/>
      </c>
    </row>
    <row r="329">
      <c r="A329" s="9" t="n"/>
      <c r="B329" s="9" t="n"/>
      <c r="C329" s="9" t="n"/>
      <c r="D329" s="9" t="n"/>
      <c r="E329" s="11" t="n"/>
      <c r="F329" s="13" t="n"/>
      <c r="G329" s="11" t="n"/>
      <c r="H329" s="13" t="n"/>
      <c r="I329" s="14">
        <f>IF(A329="","",IF(F329&lt;&gt;"",F329,IFERROR(INDEX(Products!$C:$C,MATCH(A329,Products!$A:$A,0)),"")))</f>
        <v/>
      </c>
      <c r="J329" s="14">
        <f>IF(OR(I329="",H329=""),"",I329-H329)</f>
        <v/>
      </c>
      <c r="K329" s="12">
        <f>IF(A329="","",IF(ISNA(MATCH(A329,Products!$A:$A,0)),"NAME NOT IN PRODUCTS",IF(D329="","ADD STORE SKU",IF(LEFT(D329,2)&lt;&gt;"v-","CHECK: STORE SKU STARTS WITH v-",IF(COUNTIF($D:$D,D329)&gt;1,"DUPLICATE STORE SKU",IF(COUNTIFS($A:$A,A329,$B:$B,B329,$C:$C,C329)&gt;1,"DUPLICATE COLOUR + SIZE","OK"))))))</f>
        <v/>
      </c>
    </row>
    <row r="330">
      <c r="A330" s="9" t="n"/>
      <c r="B330" s="9" t="n"/>
      <c r="C330" s="9" t="n"/>
      <c r="D330" s="9" t="n"/>
      <c r="E330" s="11" t="n"/>
      <c r="F330" s="13" t="n"/>
      <c r="G330" s="11" t="n"/>
      <c r="H330" s="13" t="n"/>
      <c r="I330" s="14">
        <f>IF(A330="","",IF(F330&lt;&gt;"",F330,IFERROR(INDEX(Products!$C:$C,MATCH(A330,Products!$A:$A,0)),"")))</f>
        <v/>
      </c>
      <c r="J330" s="14">
        <f>IF(OR(I330="",H330=""),"",I330-H330)</f>
        <v/>
      </c>
      <c r="K330" s="12">
        <f>IF(A330="","",IF(ISNA(MATCH(A330,Products!$A:$A,0)),"NAME NOT IN PRODUCTS",IF(D330="","ADD STORE SKU",IF(LEFT(D330,2)&lt;&gt;"v-","CHECK: STORE SKU STARTS WITH v-",IF(COUNTIF($D:$D,D330)&gt;1,"DUPLICATE STORE SKU",IF(COUNTIFS($A:$A,A330,$B:$B,B330,$C:$C,C330)&gt;1,"DUPLICATE COLOUR + SIZE","OK"))))))</f>
        <v/>
      </c>
    </row>
    <row r="331">
      <c r="A331" s="9" t="n"/>
      <c r="B331" s="9" t="n"/>
      <c r="C331" s="9" t="n"/>
      <c r="D331" s="9" t="n"/>
      <c r="E331" s="11" t="n"/>
      <c r="F331" s="13" t="n"/>
      <c r="G331" s="11" t="n"/>
      <c r="H331" s="13" t="n"/>
      <c r="I331" s="14">
        <f>IF(A331="","",IF(F331&lt;&gt;"",F331,IFERROR(INDEX(Products!$C:$C,MATCH(A331,Products!$A:$A,0)),"")))</f>
        <v/>
      </c>
      <c r="J331" s="14">
        <f>IF(OR(I331="",H331=""),"",I331-H331)</f>
        <v/>
      </c>
      <c r="K331" s="12">
        <f>IF(A331="","",IF(ISNA(MATCH(A331,Products!$A:$A,0)),"NAME NOT IN PRODUCTS",IF(D331="","ADD STORE SKU",IF(LEFT(D331,2)&lt;&gt;"v-","CHECK: STORE SKU STARTS WITH v-",IF(COUNTIF($D:$D,D331)&gt;1,"DUPLICATE STORE SKU",IF(COUNTIFS($A:$A,A331,$B:$B,B331,$C:$C,C331)&gt;1,"DUPLICATE COLOUR + SIZE","OK"))))))</f>
        <v/>
      </c>
    </row>
    <row r="332">
      <c r="A332" s="9" t="n"/>
      <c r="B332" s="9" t="n"/>
      <c r="C332" s="9" t="n"/>
      <c r="D332" s="9" t="n"/>
      <c r="E332" s="11" t="n"/>
      <c r="F332" s="13" t="n"/>
      <c r="G332" s="11" t="n"/>
      <c r="H332" s="13" t="n"/>
      <c r="I332" s="14">
        <f>IF(A332="","",IF(F332&lt;&gt;"",F332,IFERROR(INDEX(Products!$C:$C,MATCH(A332,Products!$A:$A,0)),"")))</f>
        <v/>
      </c>
      <c r="J332" s="14">
        <f>IF(OR(I332="",H332=""),"",I332-H332)</f>
        <v/>
      </c>
      <c r="K332" s="12">
        <f>IF(A332="","",IF(ISNA(MATCH(A332,Products!$A:$A,0)),"NAME NOT IN PRODUCTS",IF(D332="","ADD STORE SKU",IF(LEFT(D332,2)&lt;&gt;"v-","CHECK: STORE SKU STARTS WITH v-",IF(COUNTIF($D:$D,D332)&gt;1,"DUPLICATE STORE SKU",IF(COUNTIFS($A:$A,A332,$B:$B,B332,$C:$C,C332)&gt;1,"DUPLICATE COLOUR + SIZE","OK"))))))</f>
        <v/>
      </c>
    </row>
    <row r="333">
      <c r="A333" s="9" t="n"/>
      <c r="B333" s="9" t="n"/>
      <c r="C333" s="9" t="n"/>
      <c r="D333" s="9" t="n"/>
      <c r="E333" s="11" t="n"/>
      <c r="F333" s="13" t="n"/>
      <c r="G333" s="11" t="n"/>
      <c r="H333" s="13" t="n"/>
      <c r="I333" s="14">
        <f>IF(A333="","",IF(F333&lt;&gt;"",F333,IFERROR(INDEX(Products!$C:$C,MATCH(A333,Products!$A:$A,0)),"")))</f>
        <v/>
      </c>
      <c r="J333" s="14">
        <f>IF(OR(I333="",H333=""),"",I333-H333)</f>
        <v/>
      </c>
      <c r="K333" s="12">
        <f>IF(A333="","",IF(ISNA(MATCH(A333,Products!$A:$A,0)),"NAME NOT IN PRODUCTS",IF(D333="","ADD STORE SKU",IF(LEFT(D333,2)&lt;&gt;"v-","CHECK: STORE SKU STARTS WITH v-",IF(COUNTIF($D:$D,D333)&gt;1,"DUPLICATE STORE SKU",IF(COUNTIFS($A:$A,A333,$B:$B,B333,$C:$C,C333)&gt;1,"DUPLICATE COLOUR + SIZE","OK"))))))</f>
        <v/>
      </c>
    </row>
    <row r="334">
      <c r="A334" s="9" t="n"/>
      <c r="B334" s="9" t="n"/>
      <c r="C334" s="9" t="n"/>
      <c r="D334" s="9" t="n"/>
      <c r="E334" s="11" t="n"/>
      <c r="F334" s="13" t="n"/>
      <c r="G334" s="11" t="n"/>
      <c r="H334" s="13" t="n"/>
      <c r="I334" s="14">
        <f>IF(A334="","",IF(F334&lt;&gt;"",F334,IFERROR(INDEX(Products!$C:$C,MATCH(A334,Products!$A:$A,0)),"")))</f>
        <v/>
      </c>
      <c r="J334" s="14">
        <f>IF(OR(I334="",H334=""),"",I334-H334)</f>
        <v/>
      </c>
      <c r="K334" s="12">
        <f>IF(A334="","",IF(ISNA(MATCH(A334,Products!$A:$A,0)),"NAME NOT IN PRODUCTS",IF(D334="","ADD STORE SKU",IF(LEFT(D334,2)&lt;&gt;"v-","CHECK: STORE SKU STARTS WITH v-",IF(COUNTIF($D:$D,D334)&gt;1,"DUPLICATE STORE SKU",IF(COUNTIFS($A:$A,A334,$B:$B,B334,$C:$C,C334)&gt;1,"DUPLICATE COLOUR + SIZE","OK"))))))</f>
        <v/>
      </c>
    </row>
    <row r="335">
      <c r="A335" s="9" t="n"/>
      <c r="B335" s="9" t="n"/>
      <c r="C335" s="9" t="n"/>
      <c r="D335" s="9" t="n"/>
      <c r="E335" s="11" t="n"/>
      <c r="F335" s="13" t="n"/>
      <c r="G335" s="11" t="n"/>
      <c r="H335" s="13" t="n"/>
      <c r="I335" s="14">
        <f>IF(A335="","",IF(F335&lt;&gt;"",F335,IFERROR(INDEX(Products!$C:$C,MATCH(A335,Products!$A:$A,0)),"")))</f>
        <v/>
      </c>
      <c r="J335" s="14">
        <f>IF(OR(I335="",H335=""),"",I335-H335)</f>
        <v/>
      </c>
      <c r="K335" s="12">
        <f>IF(A335="","",IF(ISNA(MATCH(A335,Products!$A:$A,0)),"NAME NOT IN PRODUCTS",IF(D335="","ADD STORE SKU",IF(LEFT(D335,2)&lt;&gt;"v-","CHECK: STORE SKU STARTS WITH v-",IF(COUNTIF($D:$D,D335)&gt;1,"DUPLICATE STORE SKU",IF(COUNTIFS($A:$A,A335,$B:$B,B335,$C:$C,C335)&gt;1,"DUPLICATE COLOUR + SIZE","OK"))))))</f>
        <v/>
      </c>
    </row>
    <row r="336">
      <c r="A336" s="9" t="n"/>
      <c r="B336" s="9" t="n"/>
      <c r="C336" s="9" t="n"/>
      <c r="D336" s="9" t="n"/>
      <c r="E336" s="11" t="n"/>
      <c r="F336" s="13" t="n"/>
      <c r="G336" s="11" t="n"/>
      <c r="H336" s="13" t="n"/>
      <c r="I336" s="14">
        <f>IF(A336="","",IF(F336&lt;&gt;"",F336,IFERROR(INDEX(Products!$C:$C,MATCH(A336,Products!$A:$A,0)),"")))</f>
        <v/>
      </c>
      <c r="J336" s="14">
        <f>IF(OR(I336="",H336=""),"",I336-H336)</f>
        <v/>
      </c>
      <c r="K336" s="12">
        <f>IF(A336="","",IF(ISNA(MATCH(A336,Products!$A:$A,0)),"NAME NOT IN PRODUCTS",IF(D336="","ADD STORE SKU",IF(LEFT(D336,2)&lt;&gt;"v-","CHECK: STORE SKU STARTS WITH v-",IF(COUNTIF($D:$D,D336)&gt;1,"DUPLICATE STORE SKU",IF(COUNTIFS($A:$A,A336,$B:$B,B336,$C:$C,C336)&gt;1,"DUPLICATE COLOUR + SIZE","OK"))))))</f>
        <v/>
      </c>
    </row>
    <row r="337">
      <c r="A337" s="9" t="n"/>
      <c r="B337" s="9" t="n"/>
      <c r="C337" s="9" t="n"/>
      <c r="D337" s="9" t="n"/>
      <c r="E337" s="11" t="n"/>
      <c r="F337" s="13" t="n"/>
      <c r="G337" s="11" t="n"/>
      <c r="H337" s="13" t="n"/>
      <c r="I337" s="14">
        <f>IF(A337="","",IF(F337&lt;&gt;"",F337,IFERROR(INDEX(Products!$C:$C,MATCH(A337,Products!$A:$A,0)),"")))</f>
        <v/>
      </c>
      <c r="J337" s="14">
        <f>IF(OR(I337="",H337=""),"",I337-H337)</f>
        <v/>
      </c>
      <c r="K337" s="12">
        <f>IF(A337="","",IF(ISNA(MATCH(A337,Products!$A:$A,0)),"NAME NOT IN PRODUCTS",IF(D337="","ADD STORE SKU",IF(LEFT(D337,2)&lt;&gt;"v-","CHECK: STORE SKU STARTS WITH v-",IF(COUNTIF($D:$D,D337)&gt;1,"DUPLICATE STORE SKU",IF(COUNTIFS($A:$A,A337,$B:$B,B337,$C:$C,C337)&gt;1,"DUPLICATE COLOUR + SIZE","OK"))))))</f>
        <v/>
      </c>
    </row>
    <row r="338">
      <c r="A338" s="9" t="n"/>
      <c r="B338" s="9" t="n"/>
      <c r="C338" s="9" t="n"/>
      <c r="D338" s="9" t="n"/>
      <c r="E338" s="11" t="n"/>
      <c r="F338" s="13" t="n"/>
      <c r="G338" s="11" t="n"/>
      <c r="H338" s="13" t="n"/>
      <c r="I338" s="14">
        <f>IF(A338="","",IF(F338&lt;&gt;"",F338,IFERROR(INDEX(Products!$C:$C,MATCH(A338,Products!$A:$A,0)),"")))</f>
        <v/>
      </c>
      <c r="J338" s="14">
        <f>IF(OR(I338="",H338=""),"",I338-H338)</f>
        <v/>
      </c>
      <c r="K338" s="12">
        <f>IF(A338="","",IF(ISNA(MATCH(A338,Products!$A:$A,0)),"NAME NOT IN PRODUCTS",IF(D338="","ADD STORE SKU",IF(LEFT(D338,2)&lt;&gt;"v-","CHECK: STORE SKU STARTS WITH v-",IF(COUNTIF($D:$D,D338)&gt;1,"DUPLICATE STORE SKU",IF(COUNTIFS($A:$A,A338,$B:$B,B338,$C:$C,C338)&gt;1,"DUPLICATE COLOUR + SIZE","OK"))))))</f>
        <v/>
      </c>
    </row>
    <row r="339">
      <c r="A339" s="9" t="n"/>
      <c r="B339" s="9" t="n"/>
      <c r="C339" s="9" t="n"/>
      <c r="D339" s="9" t="n"/>
      <c r="E339" s="11" t="n"/>
      <c r="F339" s="13" t="n"/>
      <c r="G339" s="11" t="n"/>
      <c r="H339" s="13" t="n"/>
      <c r="I339" s="14">
        <f>IF(A339="","",IF(F339&lt;&gt;"",F339,IFERROR(INDEX(Products!$C:$C,MATCH(A339,Products!$A:$A,0)),"")))</f>
        <v/>
      </c>
      <c r="J339" s="14">
        <f>IF(OR(I339="",H339=""),"",I339-H339)</f>
        <v/>
      </c>
      <c r="K339" s="12">
        <f>IF(A339="","",IF(ISNA(MATCH(A339,Products!$A:$A,0)),"NAME NOT IN PRODUCTS",IF(D339="","ADD STORE SKU",IF(LEFT(D339,2)&lt;&gt;"v-","CHECK: STORE SKU STARTS WITH v-",IF(COUNTIF($D:$D,D339)&gt;1,"DUPLICATE STORE SKU",IF(COUNTIFS($A:$A,A339,$B:$B,B339,$C:$C,C339)&gt;1,"DUPLICATE COLOUR + SIZE","OK"))))))</f>
        <v/>
      </c>
    </row>
    <row r="340">
      <c r="A340" s="9" t="n"/>
      <c r="B340" s="9" t="n"/>
      <c r="C340" s="9" t="n"/>
      <c r="D340" s="9" t="n"/>
      <c r="E340" s="11" t="n"/>
      <c r="F340" s="13" t="n"/>
      <c r="G340" s="11" t="n"/>
      <c r="H340" s="13" t="n"/>
      <c r="I340" s="14">
        <f>IF(A340="","",IF(F340&lt;&gt;"",F340,IFERROR(INDEX(Products!$C:$C,MATCH(A340,Products!$A:$A,0)),"")))</f>
        <v/>
      </c>
      <c r="J340" s="14">
        <f>IF(OR(I340="",H340=""),"",I340-H340)</f>
        <v/>
      </c>
      <c r="K340" s="12">
        <f>IF(A340="","",IF(ISNA(MATCH(A340,Products!$A:$A,0)),"NAME NOT IN PRODUCTS",IF(D340="","ADD STORE SKU",IF(LEFT(D340,2)&lt;&gt;"v-","CHECK: STORE SKU STARTS WITH v-",IF(COUNTIF($D:$D,D340)&gt;1,"DUPLICATE STORE SKU",IF(COUNTIFS($A:$A,A340,$B:$B,B340,$C:$C,C340)&gt;1,"DUPLICATE COLOUR + SIZE","OK"))))))</f>
        <v/>
      </c>
    </row>
    <row r="341">
      <c r="A341" s="9" t="n"/>
      <c r="B341" s="9" t="n"/>
      <c r="C341" s="9" t="n"/>
      <c r="D341" s="9" t="n"/>
      <c r="E341" s="11" t="n"/>
      <c r="F341" s="13" t="n"/>
      <c r="G341" s="11" t="n"/>
      <c r="H341" s="13" t="n"/>
      <c r="I341" s="14">
        <f>IF(A341="","",IF(F341&lt;&gt;"",F341,IFERROR(INDEX(Products!$C:$C,MATCH(A341,Products!$A:$A,0)),"")))</f>
        <v/>
      </c>
      <c r="J341" s="14">
        <f>IF(OR(I341="",H341=""),"",I341-H341)</f>
        <v/>
      </c>
      <c r="K341" s="12">
        <f>IF(A341="","",IF(ISNA(MATCH(A341,Products!$A:$A,0)),"NAME NOT IN PRODUCTS",IF(D341="","ADD STORE SKU",IF(LEFT(D341,2)&lt;&gt;"v-","CHECK: STORE SKU STARTS WITH v-",IF(COUNTIF($D:$D,D341)&gt;1,"DUPLICATE STORE SKU",IF(COUNTIFS($A:$A,A341,$B:$B,B341,$C:$C,C341)&gt;1,"DUPLICATE COLOUR + SIZE","OK"))))))</f>
        <v/>
      </c>
    </row>
    <row r="342">
      <c r="A342" s="9" t="n"/>
      <c r="B342" s="9" t="n"/>
      <c r="C342" s="9" t="n"/>
      <c r="D342" s="9" t="n"/>
      <c r="E342" s="11" t="n"/>
      <c r="F342" s="13" t="n"/>
      <c r="G342" s="11" t="n"/>
      <c r="H342" s="13" t="n"/>
      <c r="I342" s="14">
        <f>IF(A342="","",IF(F342&lt;&gt;"",F342,IFERROR(INDEX(Products!$C:$C,MATCH(A342,Products!$A:$A,0)),"")))</f>
        <v/>
      </c>
      <c r="J342" s="14">
        <f>IF(OR(I342="",H342=""),"",I342-H342)</f>
        <v/>
      </c>
      <c r="K342" s="12">
        <f>IF(A342="","",IF(ISNA(MATCH(A342,Products!$A:$A,0)),"NAME NOT IN PRODUCTS",IF(D342="","ADD STORE SKU",IF(LEFT(D342,2)&lt;&gt;"v-","CHECK: STORE SKU STARTS WITH v-",IF(COUNTIF($D:$D,D342)&gt;1,"DUPLICATE STORE SKU",IF(COUNTIFS($A:$A,A342,$B:$B,B342,$C:$C,C342)&gt;1,"DUPLICATE COLOUR + SIZE","OK"))))))</f>
        <v/>
      </c>
    </row>
    <row r="343">
      <c r="A343" s="9" t="n"/>
      <c r="B343" s="9" t="n"/>
      <c r="C343" s="9" t="n"/>
      <c r="D343" s="9" t="n"/>
      <c r="E343" s="11" t="n"/>
      <c r="F343" s="13" t="n"/>
      <c r="G343" s="11" t="n"/>
      <c r="H343" s="13" t="n"/>
      <c r="I343" s="14">
        <f>IF(A343="","",IF(F343&lt;&gt;"",F343,IFERROR(INDEX(Products!$C:$C,MATCH(A343,Products!$A:$A,0)),"")))</f>
        <v/>
      </c>
      <c r="J343" s="14">
        <f>IF(OR(I343="",H343=""),"",I343-H343)</f>
        <v/>
      </c>
      <c r="K343" s="12">
        <f>IF(A343="","",IF(ISNA(MATCH(A343,Products!$A:$A,0)),"NAME NOT IN PRODUCTS",IF(D343="","ADD STORE SKU",IF(LEFT(D343,2)&lt;&gt;"v-","CHECK: STORE SKU STARTS WITH v-",IF(COUNTIF($D:$D,D343)&gt;1,"DUPLICATE STORE SKU",IF(COUNTIFS($A:$A,A343,$B:$B,B343,$C:$C,C343)&gt;1,"DUPLICATE COLOUR + SIZE","OK"))))))</f>
        <v/>
      </c>
    </row>
    <row r="344">
      <c r="A344" s="9" t="n"/>
      <c r="B344" s="9" t="n"/>
      <c r="C344" s="9" t="n"/>
      <c r="D344" s="9" t="n"/>
      <c r="E344" s="11" t="n"/>
      <c r="F344" s="13" t="n"/>
      <c r="G344" s="11" t="n"/>
      <c r="H344" s="13" t="n"/>
      <c r="I344" s="14">
        <f>IF(A344="","",IF(F344&lt;&gt;"",F344,IFERROR(INDEX(Products!$C:$C,MATCH(A344,Products!$A:$A,0)),"")))</f>
        <v/>
      </c>
      <c r="J344" s="14">
        <f>IF(OR(I344="",H344=""),"",I344-H344)</f>
        <v/>
      </c>
      <c r="K344" s="12">
        <f>IF(A344="","",IF(ISNA(MATCH(A344,Products!$A:$A,0)),"NAME NOT IN PRODUCTS",IF(D344="","ADD STORE SKU",IF(LEFT(D344,2)&lt;&gt;"v-","CHECK: STORE SKU STARTS WITH v-",IF(COUNTIF($D:$D,D344)&gt;1,"DUPLICATE STORE SKU",IF(COUNTIFS($A:$A,A344,$B:$B,B344,$C:$C,C344)&gt;1,"DUPLICATE COLOUR + SIZE","OK"))))))</f>
        <v/>
      </c>
    </row>
    <row r="345">
      <c r="A345" s="9" t="n"/>
      <c r="B345" s="9" t="n"/>
      <c r="C345" s="9" t="n"/>
      <c r="D345" s="9" t="n"/>
      <c r="E345" s="11" t="n"/>
      <c r="F345" s="13" t="n"/>
      <c r="G345" s="11" t="n"/>
      <c r="H345" s="13" t="n"/>
      <c r="I345" s="14">
        <f>IF(A345="","",IF(F345&lt;&gt;"",F345,IFERROR(INDEX(Products!$C:$C,MATCH(A345,Products!$A:$A,0)),"")))</f>
        <v/>
      </c>
      <c r="J345" s="14">
        <f>IF(OR(I345="",H345=""),"",I345-H345)</f>
        <v/>
      </c>
      <c r="K345" s="12">
        <f>IF(A345="","",IF(ISNA(MATCH(A345,Products!$A:$A,0)),"NAME NOT IN PRODUCTS",IF(D345="","ADD STORE SKU",IF(LEFT(D345,2)&lt;&gt;"v-","CHECK: STORE SKU STARTS WITH v-",IF(COUNTIF($D:$D,D345)&gt;1,"DUPLICATE STORE SKU",IF(COUNTIFS($A:$A,A345,$B:$B,B345,$C:$C,C345)&gt;1,"DUPLICATE COLOUR + SIZE","OK"))))))</f>
        <v/>
      </c>
    </row>
    <row r="346">
      <c r="A346" s="9" t="n"/>
      <c r="B346" s="9" t="n"/>
      <c r="C346" s="9" t="n"/>
      <c r="D346" s="9" t="n"/>
      <c r="E346" s="11" t="n"/>
      <c r="F346" s="13" t="n"/>
      <c r="G346" s="11" t="n"/>
      <c r="H346" s="13" t="n"/>
      <c r="I346" s="14">
        <f>IF(A346="","",IF(F346&lt;&gt;"",F346,IFERROR(INDEX(Products!$C:$C,MATCH(A346,Products!$A:$A,0)),"")))</f>
        <v/>
      </c>
      <c r="J346" s="14">
        <f>IF(OR(I346="",H346=""),"",I346-H346)</f>
        <v/>
      </c>
      <c r="K346" s="12">
        <f>IF(A346="","",IF(ISNA(MATCH(A346,Products!$A:$A,0)),"NAME NOT IN PRODUCTS",IF(D346="","ADD STORE SKU",IF(LEFT(D346,2)&lt;&gt;"v-","CHECK: STORE SKU STARTS WITH v-",IF(COUNTIF($D:$D,D346)&gt;1,"DUPLICATE STORE SKU",IF(COUNTIFS($A:$A,A346,$B:$B,B346,$C:$C,C346)&gt;1,"DUPLICATE COLOUR + SIZE","OK"))))))</f>
        <v/>
      </c>
    </row>
    <row r="347">
      <c r="A347" s="9" t="n"/>
      <c r="B347" s="9" t="n"/>
      <c r="C347" s="9" t="n"/>
      <c r="D347" s="9" t="n"/>
      <c r="E347" s="11" t="n"/>
      <c r="F347" s="13" t="n"/>
      <c r="G347" s="11" t="n"/>
      <c r="H347" s="13" t="n"/>
      <c r="I347" s="14">
        <f>IF(A347="","",IF(F347&lt;&gt;"",F347,IFERROR(INDEX(Products!$C:$C,MATCH(A347,Products!$A:$A,0)),"")))</f>
        <v/>
      </c>
      <c r="J347" s="14">
        <f>IF(OR(I347="",H347=""),"",I347-H347)</f>
        <v/>
      </c>
      <c r="K347" s="12">
        <f>IF(A347="","",IF(ISNA(MATCH(A347,Products!$A:$A,0)),"NAME NOT IN PRODUCTS",IF(D347="","ADD STORE SKU",IF(LEFT(D347,2)&lt;&gt;"v-","CHECK: STORE SKU STARTS WITH v-",IF(COUNTIF($D:$D,D347)&gt;1,"DUPLICATE STORE SKU",IF(COUNTIFS($A:$A,A347,$B:$B,B347,$C:$C,C347)&gt;1,"DUPLICATE COLOUR + SIZE","OK"))))))</f>
        <v/>
      </c>
    </row>
    <row r="348">
      <c r="A348" s="9" t="n"/>
      <c r="B348" s="9" t="n"/>
      <c r="C348" s="9" t="n"/>
      <c r="D348" s="9" t="n"/>
      <c r="E348" s="11" t="n"/>
      <c r="F348" s="13" t="n"/>
      <c r="G348" s="11" t="n"/>
      <c r="H348" s="13" t="n"/>
      <c r="I348" s="14">
        <f>IF(A348="","",IF(F348&lt;&gt;"",F348,IFERROR(INDEX(Products!$C:$C,MATCH(A348,Products!$A:$A,0)),"")))</f>
        <v/>
      </c>
      <c r="J348" s="14">
        <f>IF(OR(I348="",H348=""),"",I348-H348)</f>
        <v/>
      </c>
      <c r="K348" s="12">
        <f>IF(A348="","",IF(ISNA(MATCH(A348,Products!$A:$A,0)),"NAME NOT IN PRODUCTS",IF(D348="","ADD STORE SKU",IF(LEFT(D348,2)&lt;&gt;"v-","CHECK: STORE SKU STARTS WITH v-",IF(COUNTIF($D:$D,D348)&gt;1,"DUPLICATE STORE SKU",IF(COUNTIFS($A:$A,A348,$B:$B,B348,$C:$C,C348)&gt;1,"DUPLICATE COLOUR + SIZE","OK"))))))</f>
        <v/>
      </c>
    </row>
    <row r="349">
      <c r="A349" s="9" t="n"/>
      <c r="B349" s="9" t="n"/>
      <c r="C349" s="9" t="n"/>
      <c r="D349" s="9" t="n"/>
      <c r="E349" s="11" t="n"/>
      <c r="F349" s="13" t="n"/>
      <c r="G349" s="11" t="n"/>
      <c r="H349" s="13" t="n"/>
      <c r="I349" s="14">
        <f>IF(A349="","",IF(F349&lt;&gt;"",F349,IFERROR(INDEX(Products!$C:$C,MATCH(A349,Products!$A:$A,0)),"")))</f>
        <v/>
      </c>
      <c r="J349" s="14">
        <f>IF(OR(I349="",H349=""),"",I349-H349)</f>
        <v/>
      </c>
      <c r="K349" s="12">
        <f>IF(A349="","",IF(ISNA(MATCH(A349,Products!$A:$A,0)),"NAME NOT IN PRODUCTS",IF(D349="","ADD STORE SKU",IF(LEFT(D349,2)&lt;&gt;"v-","CHECK: STORE SKU STARTS WITH v-",IF(COUNTIF($D:$D,D349)&gt;1,"DUPLICATE STORE SKU",IF(COUNTIFS($A:$A,A349,$B:$B,B349,$C:$C,C349)&gt;1,"DUPLICATE COLOUR + SIZE","OK"))))))</f>
        <v/>
      </c>
    </row>
    <row r="350">
      <c r="A350" s="9" t="n"/>
      <c r="B350" s="9" t="n"/>
      <c r="C350" s="9" t="n"/>
      <c r="D350" s="9" t="n"/>
      <c r="E350" s="11" t="n"/>
      <c r="F350" s="13" t="n"/>
      <c r="G350" s="11" t="n"/>
      <c r="H350" s="13" t="n"/>
      <c r="I350" s="14">
        <f>IF(A350="","",IF(F350&lt;&gt;"",F350,IFERROR(INDEX(Products!$C:$C,MATCH(A350,Products!$A:$A,0)),"")))</f>
        <v/>
      </c>
      <c r="J350" s="14">
        <f>IF(OR(I350="",H350=""),"",I350-H350)</f>
        <v/>
      </c>
      <c r="K350" s="12">
        <f>IF(A350="","",IF(ISNA(MATCH(A350,Products!$A:$A,0)),"NAME NOT IN PRODUCTS",IF(D350="","ADD STORE SKU",IF(LEFT(D350,2)&lt;&gt;"v-","CHECK: STORE SKU STARTS WITH v-",IF(COUNTIF($D:$D,D350)&gt;1,"DUPLICATE STORE SKU",IF(COUNTIFS($A:$A,A350,$B:$B,B350,$C:$C,C350)&gt;1,"DUPLICATE COLOUR + SIZE","OK"))))))</f>
        <v/>
      </c>
    </row>
    <row r="351">
      <c r="A351" s="9" t="n"/>
      <c r="B351" s="9" t="n"/>
      <c r="C351" s="9" t="n"/>
      <c r="D351" s="9" t="n"/>
      <c r="E351" s="11" t="n"/>
      <c r="F351" s="13" t="n"/>
      <c r="G351" s="11" t="n"/>
      <c r="H351" s="13" t="n"/>
      <c r="I351" s="14">
        <f>IF(A351="","",IF(F351&lt;&gt;"",F351,IFERROR(INDEX(Products!$C:$C,MATCH(A351,Products!$A:$A,0)),"")))</f>
        <v/>
      </c>
      <c r="J351" s="14">
        <f>IF(OR(I351="",H351=""),"",I351-H351)</f>
        <v/>
      </c>
      <c r="K351" s="12">
        <f>IF(A351="","",IF(ISNA(MATCH(A351,Products!$A:$A,0)),"NAME NOT IN PRODUCTS",IF(D351="","ADD STORE SKU",IF(LEFT(D351,2)&lt;&gt;"v-","CHECK: STORE SKU STARTS WITH v-",IF(COUNTIF($D:$D,D351)&gt;1,"DUPLICATE STORE SKU",IF(COUNTIFS($A:$A,A351,$B:$B,B351,$C:$C,C351)&gt;1,"DUPLICATE COLOUR + SIZE","OK"))))))</f>
        <v/>
      </c>
    </row>
    <row r="352">
      <c r="A352" s="9" t="n"/>
      <c r="B352" s="9" t="n"/>
      <c r="C352" s="9" t="n"/>
      <c r="D352" s="9" t="n"/>
      <c r="E352" s="11" t="n"/>
      <c r="F352" s="13" t="n"/>
      <c r="G352" s="11" t="n"/>
      <c r="H352" s="13" t="n"/>
      <c r="I352" s="14">
        <f>IF(A352="","",IF(F352&lt;&gt;"",F352,IFERROR(INDEX(Products!$C:$C,MATCH(A352,Products!$A:$A,0)),"")))</f>
        <v/>
      </c>
      <c r="J352" s="14">
        <f>IF(OR(I352="",H352=""),"",I352-H352)</f>
        <v/>
      </c>
      <c r="K352" s="12">
        <f>IF(A352="","",IF(ISNA(MATCH(A352,Products!$A:$A,0)),"NAME NOT IN PRODUCTS",IF(D352="","ADD STORE SKU",IF(LEFT(D352,2)&lt;&gt;"v-","CHECK: STORE SKU STARTS WITH v-",IF(COUNTIF($D:$D,D352)&gt;1,"DUPLICATE STORE SKU",IF(COUNTIFS($A:$A,A352,$B:$B,B352,$C:$C,C352)&gt;1,"DUPLICATE COLOUR + SIZE","OK"))))))</f>
        <v/>
      </c>
    </row>
    <row r="353">
      <c r="A353" s="9" t="n"/>
      <c r="B353" s="9" t="n"/>
      <c r="C353" s="9" t="n"/>
      <c r="D353" s="9" t="n"/>
      <c r="E353" s="11" t="n"/>
      <c r="F353" s="13" t="n"/>
      <c r="G353" s="11" t="n"/>
      <c r="H353" s="13" t="n"/>
      <c r="I353" s="14">
        <f>IF(A353="","",IF(F353&lt;&gt;"",F353,IFERROR(INDEX(Products!$C:$C,MATCH(A353,Products!$A:$A,0)),"")))</f>
        <v/>
      </c>
      <c r="J353" s="14">
        <f>IF(OR(I353="",H353=""),"",I353-H353)</f>
        <v/>
      </c>
      <c r="K353" s="12">
        <f>IF(A353="","",IF(ISNA(MATCH(A353,Products!$A:$A,0)),"NAME NOT IN PRODUCTS",IF(D353="","ADD STORE SKU",IF(LEFT(D353,2)&lt;&gt;"v-","CHECK: STORE SKU STARTS WITH v-",IF(COUNTIF($D:$D,D353)&gt;1,"DUPLICATE STORE SKU",IF(COUNTIFS($A:$A,A353,$B:$B,B353,$C:$C,C353)&gt;1,"DUPLICATE COLOUR + SIZE","OK"))))))</f>
        <v/>
      </c>
    </row>
    <row r="354">
      <c r="A354" s="9" t="n"/>
      <c r="B354" s="9" t="n"/>
      <c r="C354" s="9" t="n"/>
      <c r="D354" s="9" t="n"/>
      <c r="E354" s="11" t="n"/>
      <c r="F354" s="13" t="n"/>
      <c r="G354" s="11" t="n"/>
      <c r="H354" s="13" t="n"/>
      <c r="I354" s="14">
        <f>IF(A354="","",IF(F354&lt;&gt;"",F354,IFERROR(INDEX(Products!$C:$C,MATCH(A354,Products!$A:$A,0)),"")))</f>
        <v/>
      </c>
      <c r="J354" s="14">
        <f>IF(OR(I354="",H354=""),"",I354-H354)</f>
        <v/>
      </c>
      <c r="K354" s="12">
        <f>IF(A354="","",IF(ISNA(MATCH(A354,Products!$A:$A,0)),"NAME NOT IN PRODUCTS",IF(D354="","ADD STORE SKU",IF(LEFT(D354,2)&lt;&gt;"v-","CHECK: STORE SKU STARTS WITH v-",IF(COUNTIF($D:$D,D354)&gt;1,"DUPLICATE STORE SKU",IF(COUNTIFS($A:$A,A354,$B:$B,B354,$C:$C,C354)&gt;1,"DUPLICATE COLOUR + SIZE","OK"))))))</f>
        <v/>
      </c>
    </row>
    <row r="355">
      <c r="A355" s="9" t="n"/>
      <c r="B355" s="9" t="n"/>
      <c r="C355" s="9" t="n"/>
      <c r="D355" s="9" t="n"/>
      <c r="E355" s="11" t="n"/>
      <c r="F355" s="13" t="n"/>
      <c r="G355" s="11" t="n"/>
      <c r="H355" s="13" t="n"/>
      <c r="I355" s="14">
        <f>IF(A355="","",IF(F355&lt;&gt;"",F355,IFERROR(INDEX(Products!$C:$C,MATCH(A355,Products!$A:$A,0)),"")))</f>
        <v/>
      </c>
      <c r="J355" s="14">
        <f>IF(OR(I355="",H355=""),"",I355-H355)</f>
        <v/>
      </c>
      <c r="K355" s="12">
        <f>IF(A355="","",IF(ISNA(MATCH(A355,Products!$A:$A,0)),"NAME NOT IN PRODUCTS",IF(D355="","ADD STORE SKU",IF(LEFT(D355,2)&lt;&gt;"v-","CHECK: STORE SKU STARTS WITH v-",IF(COUNTIF($D:$D,D355)&gt;1,"DUPLICATE STORE SKU",IF(COUNTIFS($A:$A,A355,$B:$B,B355,$C:$C,C355)&gt;1,"DUPLICATE COLOUR + SIZE","OK"))))))</f>
        <v/>
      </c>
    </row>
    <row r="356">
      <c r="A356" s="9" t="n"/>
      <c r="B356" s="9" t="n"/>
      <c r="C356" s="9" t="n"/>
      <c r="D356" s="9" t="n"/>
      <c r="E356" s="11" t="n"/>
      <c r="F356" s="13" t="n"/>
      <c r="G356" s="11" t="n"/>
      <c r="H356" s="13" t="n"/>
      <c r="I356" s="14">
        <f>IF(A356="","",IF(F356&lt;&gt;"",F356,IFERROR(INDEX(Products!$C:$C,MATCH(A356,Products!$A:$A,0)),"")))</f>
        <v/>
      </c>
      <c r="J356" s="14">
        <f>IF(OR(I356="",H356=""),"",I356-H356)</f>
        <v/>
      </c>
      <c r="K356" s="12">
        <f>IF(A356="","",IF(ISNA(MATCH(A356,Products!$A:$A,0)),"NAME NOT IN PRODUCTS",IF(D356="","ADD STORE SKU",IF(LEFT(D356,2)&lt;&gt;"v-","CHECK: STORE SKU STARTS WITH v-",IF(COUNTIF($D:$D,D356)&gt;1,"DUPLICATE STORE SKU",IF(COUNTIFS($A:$A,A356,$B:$B,B356,$C:$C,C356)&gt;1,"DUPLICATE COLOUR + SIZE","OK"))))))</f>
        <v/>
      </c>
    </row>
    <row r="357">
      <c r="A357" s="9" t="n"/>
      <c r="B357" s="9" t="n"/>
      <c r="C357" s="9" t="n"/>
      <c r="D357" s="9" t="n"/>
      <c r="E357" s="11" t="n"/>
      <c r="F357" s="13" t="n"/>
      <c r="G357" s="11" t="n"/>
      <c r="H357" s="13" t="n"/>
      <c r="I357" s="14">
        <f>IF(A357="","",IF(F357&lt;&gt;"",F357,IFERROR(INDEX(Products!$C:$C,MATCH(A357,Products!$A:$A,0)),"")))</f>
        <v/>
      </c>
      <c r="J357" s="14">
        <f>IF(OR(I357="",H357=""),"",I357-H357)</f>
        <v/>
      </c>
      <c r="K357" s="12">
        <f>IF(A357="","",IF(ISNA(MATCH(A357,Products!$A:$A,0)),"NAME NOT IN PRODUCTS",IF(D357="","ADD STORE SKU",IF(LEFT(D357,2)&lt;&gt;"v-","CHECK: STORE SKU STARTS WITH v-",IF(COUNTIF($D:$D,D357)&gt;1,"DUPLICATE STORE SKU",IF(COUNTIFS($A:$A,A357,$B:$B,B357,$C:$C,C357)&gt;1,"DUPLICATE COLOUR + SIZE","OK"))))))</f>
        <v/>
      </c>
    </row>
    <row r="358">
      <c r="A358" s="9" t="n"/>
      <c r="B358" s="9" t="n"/>
      <c r="C358" s="9" t="n"/>
      <c r="D358" s="9" t="n"/>
      <c r="E358" s="11" t="n"/>
      <c r="F358" s="13" t="n"/>
      <c r="G358" s="11" t="n"/>
      <c r="H358" s="13" t="n"/>
      <c r="I358" s="14">
        <f>IF(A358="","",IF(F358&lt;&gt;"",F358,IFERROR(INDEX(Products!$C:$C,MATCH(A358,Products!$A:$A,0)),"")))</f>
        <v/>
      </c>
      <c r="J358" s="14">
        <f>IF(OR(I358="",H358=""),"",I358-H358)</f>
        <v/>
      </c>
      <c r="K358" s="12">
        <f>IF(A358="","",IF(ISNA(MATCH(A358,Products!$A:$A,0)),"NAME NOT IN PRODUCTS",IF(D358="","ADD STORE SKU",IF(LEFT(D358,2)&lt;&gt;"v-","CHECK: STORE SKU STARTS WITH v-",IF(COUNTIF($D:$D,D358)&gt;1,"DUPLICATE STORE SKU",IF(COUNTIFS($A:$A,A358,$B:$B,B358,$C:$C,C358)&gt;1,"DUPLICATE COLOUR + SIZE","OK"))))))</f>
        <v/>
      </c>
    </row>
    <row r="359">
      <c r="A359" s="9" t="n"/>
      <c r="B359" s="9" t="n"/>
      <c r="C359" s="9" t="n"/>
      <c r="D359" s="9" t="n"/>
      <c r="E359" s="11" t="n"/>
      <c r="F359" s="13" t="n"/>
      <c r="G359" s="11" t="n"/>
      <c r="H359" s="13" t="n"/>
      <c r="I359" s="14">
        <f>IF(A359="","",IF(F359&lt;&gt;"",F359,IFERROR(INDEX(Products!$C:$C,MATCH(A359,Products!$A:$A,0)),"")))</f>
        <v/>
      </c>
      <c r="J359" s="14">
        <f>IF(OR(I359="",H359=""),"",I359-H359)</f>
        <v/>
      </c>
      <c r="K359" s="12">
        <f>IF(A359="","",IF(ISNA(MATCH(A359,Products!$A:$A,0)),"NAME NOT IN PRODUCTS",IF(D359="","ADD STORE SKU",IF(LEFT(D359,2)&lt;&gt;"v-","CHECK: STORE SKU STARTS WITH v-",IF(COUNTIF($D:$D,D359)&gt;1,"DUPLICATE STORE SKU",IF(COUNTIFS($A:$A,A359,$B:$B,B359,$C:$C,C359)&gt;1,"DUPLICATE COLOUR + SIZE","OK"))))))</f>
        <v/>
      </c>
    </row>
    <row r="360">
      <c r="A360" s="9" t="n"/>
      <c r="B360" s="9" t="n"/>
      <c r="C360" s="9" t="n"/>
      <c r="D360" s="9" t="n"/>
      <c r="E360" s="11" t="n"/>
      <c r="F360" s="13" t="n"/>
      <c r="G360" s="11" t="n"/>
      <c r="H360" s="13" t="n"/>
      <c r="I360" s="14">
        <f>IF(A360="","",IF(F360&lt;&gt;"",F360,IFERROR(INDEX(Products!$C:$C,MATCH(A360,Products!$A:$A,0)),"")))</f>
        <v/>
      </c>
      <c r="J360" s="14">
        <f>IF(OR(I360="",H360=""),"",I360-H360)</f>
        <v/>
      </c>
      <c r="K360" s="12">
        <f>IF(A360="","",IF(ISNA(MATCH(A360,Products!$A:$A,0)),"NAME NOT IN PRODUCTS",IF(D360="","ADD STORE SKU",IF(LEFT(D360,2)&lt;&gt;"v-","CHECK: STORE SKU STARTS WITH v-",IF(COUNTIF($D:$D,D360)&gt;1,"DUPLICATE STORE SKU",IF(COUNTIFS($A:$A,A360,$B:$B,B360,$C:$C,C360)&gt;1,"DUPLICATE COLOUR + SIZE","OK"))))))</f>
        <v/>
      </c>
    </row>
    <row r="361">
      <c r="A361" s="9" t="n"/>
      <c r="B361" s="9" t="n"/>
      <c r="C361" s="9" t="n"/>
      <c r="D361" s="9" t="n"/>
      <c r="E361" s="11" t="n"/>
      <c r="F361" s="13" t="n"/>
      <c r="G361" s="11" t="n"/>
      <c r="H361" s="13" t="n"/>
      <c r="I361" s="14">
        <f>IF(A361="","",IF(F361&lt;&gt;"",F361,IFERROR(INDEX(Products!$C:$C,MATCH(A361,Products!$A:$A,0)),"")))</f>
        <v/>
      </c>
      <c r="J361" s="14">
        <f>IF(OR(I361="",H361=""),"",I361-H361)</f>
        <v/>
      </c>
      <c r="K361" s="12">
        <f>IF(A361="","",IF(ISNA(MATCH(A361,Products!$A:$A,0)),"NAME NOT IN PRODUCTS",IF(D361="","ADD STORE SKU",IF(LEFT(D361,2)&lt;&gt;"v-","CHECK: STORE SKU STARTS WITH v-",IF(COUNTIF($D:$D,D361)&gt;1,"DUPLICATE STORE SKU",IF(COUNTIFS($A:$A,A361,$B:$B,B361,$C:$C,C361)&gt;1,"DUPLICATE COLOUR + SIZE","OK"))))))</f>
        <v/>
      </c>
    </row>
    <row r="362">
      <c r="A362" s="9" t="n"/>
      <c r="B362" s="9" t="n"/>
      <c r="C362" s="9" t="n"/>
      <c r="D362" s="9" t="n"/>
      <c r="E362" s="11" t="n"/>
      <c r="F362" s="13" t="n"/>
      <c r="G362" s="11" t="n"/>
      <c r="H362" s="13" t="n"/>
      <c r="I362" s="14">
        <f>IF(A362="","",IF(F362&lt;&gt;"",F362,IFERROR(INDEX(Products!$C:$C,MATCH(A362,Products!$A:$A,0)),"")))</f>
        <v/>
      </c>
      <c r="J362" s="14">
        <f>IF(OR(I362="",H362=""),"",I362-H362)</f>
        <v/>
      </c>
      <c r="K362" s="12">
        <f>IF(A362="","",IF(ISNA(MATCH(A362,Products!$A:$A,0)),"NAME NOT IN PRODUCTS",IF(D362="","ADD STORE SKU",IF(LEFT(D362,2)&lt;&gt;"v-","CHECK: STORE SKU STARTS WITH v-",IF(COUNTIF($D:$D,D362)&gt;1,"DUPLICATE STORE SKU",IF(COUNTIFS($A:$A,A362,$B:$B,B362,$C:$C,C362)&gt;1,"DUPLICATE COLOUR + SIZE","OK"))))))</f>
        <v/>
      </c>
    </row>
    <row r="363">
      <c r="A363" s="9" t="n"/>
      <c r="B363" s="9" t="n"/>
      <c r="C363" s="9" t="n"/>
      <c r="D363" s="9" t="n"/>
      <c r="E363" s="11" t="n"/>
      <c r="F363" s="13" t="n"/>
      <c r="G363" s="11" t="n"/>
      <c r="H363" s="13" t="n"/>
      <c r="I363" s="14">
        <f>IF(A363="","",IF(F363&lt;&gt;"",F363,IFERROR(INDEX(Products!$C:$C,MATCH(A363,Products!$A:$A,0)),"")))</f>
        <v/>
      </c>
      <c r="J363" s="14">
        <f>IF(OR(I363="",H363=""),"",I363-H363)</f>
        <v/>
      </c>
      <c r="K363" s="12">
        <f>IF(A363="","",IF(ISNA(MATCH(A363,Products!$A:$A,0)),"NAME NOT IN PRODUCTS",IF(D363="","ADD STORE SKU",IF(LEFT(D363,2)&lt;&gt;"v-","CHECK: STORE SKU STARTS WITH v-",IF(COUNTIF($D:$D,D363)&gt;1,"DUPLICATE STORE SKU",IF(COUNTIFS($A:$A,A363,$B:$B,B363,$C:$C,C363)&gt;1,"DUPLICATE COLOUR + SIZE","OK"))))))</f>
        <v/>
      </c>
    </row>
    <row r="364">
      <c r="A364" s="9" t="n"/>
      <c r="B364" s="9" t="n"/>
      <c r="C364" s="9" t="n"/>
      <c r="D364" s="9" t="n"/>
      <c r="E364" s="11" t="n"/>
      <c r="F364" s="13" t="n"/>
      <c r="G364" s="11" t="n"/>
      <c r="H364" s="13" t="n"/>
      <c r="I364" s="14">
        <f>IF(A364="","",IF(F364&lt;&gt;"",F364,IFERROR(INDEX(Products!$C:$C,MATCH(A364,Products!$A:$A,0)),"")))</f>
        <v/>
      </c>
      <c r="J364" s="14">
        <f>IF(OR(I364="",H364=""),"",I364-H364)</f>
        <v/>
      </c>
      <c r="K364" s="12">
        <f>IF(A364="","",IF(ISNA(MATCH(A364,Products!$A:$A,0)),"NAME NOT IN PRODUCTS",IF(D364="","ADD STORE SKU",IF(LEFT(D364,2)&lt;&gt;"v-","CHECK: STORE SKU STARTS WITH v-",IF(COUNTIF($D:$D,D364)&gt;1,"DUPLICATE STORE SKU",IF(COUNTIFS($A:$A,A364,$B:$B,B364,$C:$C,C364)&gt;1,"DUPLICATE COLOUR + SIZE","OK"))))))</f>
        <v/>
      </c>
    </row>
    <row r="365">
      <c r="A365" s="9" t="n"/>
      <c r="B365" s="9" t="n"/>
      <c r="C365" s="9" t="n"/>
      <c r="D365" s="9" t="n"/>
      <c r="E365" s="11" t="n"/>
      <c r="F365" s="13" t="n"/>
      <c r="G365" s="11" t="n"/>
      <c r="H365" s="13" t="n"/>
      <c r="I365" s="14">
        <f>IF(A365="","",IF(F365&lt;&gt;"",F365,IFERROR(INDEX(Products!$C:$C,MATCH(A365,Products!$A:$A,0)),"")))</f>
        <v/>
      </c>
      <c r="J365" s="14">
        <f>IF(OR(I365="",H365=""),"",I365-H365)</f>
        <v/>
      </c>
      <c r="K365" s="12">
        <f>IF(A365="","",IF(ISNA(MATCH(A365,Products!$A:$A,0)),"NAME NOT IN PRODUCTS",IF(D365="","ADD STORE SKU",IF(LEFT(D365,2)&lt;&gt;"v-","CHECK: STORE SKU STARTS WITH v-",IF(COUNTIF($D:$D,D365)&gt;1,"DUPLICATE STORE SKU",IF(COUNTIFS($A:$A,A365,$B:$B,B365,$C:$C,C365)&gt;1,"DUPLICATE COLOUR + SIZE","OK"))))))</f>
        <v/>
      </c>
    </row>
    <row r="366">
      <c r="A366" s="9" t="n"/>
      <c r="B366" s="9" t="n"/>
      <c r="C366" s="9" t="n"/>
      <c r="D366" s="9" t="n"/>
      <c r="E366" s="11" t="n"/>
      <c r="F366" s="13" t="n"/>
      <c r="G366" s="11" t="n"/>
      <c r="H366" s="13" t="n"/>
      <c r="I366" s="14">
        <f>IF(A366="","",IF(F366&lt;&gt;"",F366,IFERROR(INDEX(Products!$C:$C,MATCH(A366,Products!$A:$A,0)),"")))</f>
        <v/>
      </c>
      <c r="J366" s="14">
        <f>IF(OR(I366="",H366=""),"",I366-H366)</f>
        <v/>
      </c>
      <c r="K366" s="12">
        <f>IF(A366="","",IF(ISNA(MATCH(A366,Products!$A:$A,0)),"NAME NOT IN PRODUCTS",IF(D366="","ADD STORE SKU",IF(LEFT(D366,2)&lt;&gt;"v-","CHECK: STORE SKU STARTS WITH v-",IF(COUNTIF($D:$D,D366)&gt;1,"DUPLICATE STORE SKU",IF(COUNTIFS($A:$A,A366,$B:$B,B366,$C:$C,C366)&gt;1,"DUPLICATE COLOUR + SIZE","OK"))))))</f>
        <v/>
      </c>
    </row>
    <row r="367">
      <c r="A367" s="9" t="n"/>
      <c r="B367" s="9" t="n"/>
      <c r="C367" s="9" t="n"/>
      <c r="D367" s="9" t="n"/>
      <c r="E367" s="11" t="n"/>
      <c r="F367" s="13" t="n"/>
      <c r="G367" s="11" t="n"/>
      <c r="H367" s="13" t="n"/>
      <c r="I367" s="14">
        <f>IF(A367="","",IF(F367&lt;&gt;"",F367,IFERROR(INDEX(Products!$C:$C,MATCH(A367,Products!$A:$A,0)),"")))</f>
        <v/>
      </c>
      <c r="J367" s="14">
        <f>IF(OR(I367="",H367=""),"",I367-H367)</f>
        <v/>
      </c>
      <c r="K367" s="12">
        <f>IF(A367="","",IF(ISNA(MATCH(A367,Products!$A:$A,0)),"NAME NOT IN PRODUCTS",IF(D367="","ADD STORE SKU",IF(LEFT(D367,2)&lt;&gt;"v-","CHECK: STORE SKU STARTS WITH v-",IF(COUNTIF($D:$D,D367)&gt;1,"DUPLICATE STORE SKU",IF(COUNTIFS($A:$A,A367,$B:$B,B367,$C:$C,C367)&gt;1,"DUPLICATE COLOUR + SIZE","OK"))))))</f>
        <v/>
      </c>
    </row>
    <row r="368">
      <c r="A368" s="9" t="n"/>
      <c r="B368" s="9" t="n"/>
      <c r="C368" s="9" t="n"/>
      <c r="D368" s="9" t="n"/>
      <c r="E368" s="11" t="n"/>
      <c r="F368" s="13" t="n"/>
      <c r="G368" s="11" t="n"/>
      <c r="H368" s="13" t="n"/>
      <c r="I368" s="14">
        <f>IF(A368="","",IF(F368&lt;&gt;"",F368,IFERROR(INDEX(Products!$C:$C,MATCH(A368,Products!$A:$A,0)),"")))</f>
        <v/>
      </c>
      <c r="J368" s="14">
        <f>IF(OR(I368="",H368=""),"",I368-H368)</f>
        <v/>
      </c>
      <c r="K368" s="12">
        <f>IF(A368="","",IF(ISNA(MATCH(A368,Products!$A:$A,0)),"NAME NOT IN PRODUCTS",IF(D368="","ADD STORE SKU",IF(LEFT(D368,2)&lt;&gt;"v-","CHECK: STORE SKU STARTS WITH v-",IF(COUNTIF($D:$D,D368)&gt;1,"DUPLICATE STORE SKU",IF(COUNTIFS($A:$A,A368,$B:$B,B368,$C:$C,C368)&gt;1,"DUPLICATE COLOUR + SIZE","OK"))))))</f>
        <v/>
      </c>
    </row>
    <row r="369">
      <c r="A369" s="9" t="n"/>
      <c r="B369" s="9" t="n"/>
      <c r="C369" s="9" t="n"/>
      <c r="D369" s="9" t="n"/>
      <c r="E369" s="11" t="n"/>
      <c r="F369" s="13" t="n"/>
      <c r="G369" s="11" t="n"/>
      <c r="H369" s="13" t="n"/>
      <c r="I369" s="14">
        <f>IF(A369="","",IF(F369&lt;&gt;"",F369,IFERROR(INDEX(Products!$C:$C,MATCH(A369,Products!$A:$A,0)),"")))</f>
        <v/>
      </c>
      <c r="J369" s="14">
        <f>IF(OR(I369="",H369=""),"",I369-H369)</f>
        <v/>
      </c>
      <c r="K369" s="12">
        <f>IF(A369="","",IF(ISNA(MATCH(A369,Products!$A:$A,0)),"NAME NOT IN PRODUCTS",IF(D369="","ADD STORE SKU",IF(LEFT(D369,2)&lt;&gt;"v-","CHECK: STORE SKU STARTS WITH v-",IF(COUNTIF($D:$D,D369)&gt;1,"DUPLICATE STORE SKU",IF(COUNTIFS($A:$A,A369,$B:$B,B369,$C:$C,C369)&gt;1,"DUPLICATE COLOUR + SIZE","OK"))))))</f>
        <v/>
      </c>
    </row>
    <row r="370">
      <c r="A370" s="9" t="n"/>
      <c r="B370" s="9" t="n"/>
      <c r="C370" s="9" t="n"/>
      <c r="D370" s="9" t="n"/>
      <c r="E370" s="11" t="n"/>
      <c r="F370" s="13" t="n"/>
      <c r="G370" s="11" t="n"/>
      <c r="H370" s="13" t="n"/>
      <c r="I370" s="14">
        <f>IF(A370="","",IF(F370&lt;&gt;"",F370,IFERROR(INDEX(Products!$C:$C,MATCH(A370,Products!$A:$A,0)),"")))</f>
        <v/>
      </c>
      <c r="J370" s="14">
        <f>IF(OR(I370="",H370=""),"",I370-H370)</f>
        <v/>
      </c>
      <c r="K370" s="12">
        <f>IF(A370="","",IF(ISNA(MATCH(A370,Products!$A:$A,0)),"NAME NOT IN PRODUCTS",IF(D370="","ADD STORE SKU",IF(LEFT(D370,2)&lt;&gt;"v-","CHECK: STORE SKU STARTS WITH v-",IF(COUNTIF($D:$D,D370)&gt;1,"DUPLICATE STORE SKU",IF(COUNTIFS($A:$A,A370,$B:$B,B370,$C:$C,C370)&gt;1,"DUPLICATE COLOUR + SIZE","OK"))))))</f>
        <v/>
      </c>
    </row>
    <row r="371">
      <c r="A371" s="9" t="n"/>
      <c r="B371" s="9" t="n"/>
      <c r="C371" s="9" t="n"/>
      <c r="D371" s="9" t="n"/>
      <c r="E371" s="11" t="n"/>
      <c r="F371" s="13" t="n"/>
      <c r="G371" s="11" t="n"/>
      <c r="H371" s="13" t="n"/>
      <c r="I371" s="14">
        <f>IF(A371="","",IF(F371&lt;&gt;"",F371,IFERROR(INDEX(Products!$C:$C,MATCH(A371,Products!$A:$A,0)),"")))</f>
        <v/>
      </c>
      <c r="J371" s="14">
        <f>IF(OR(I371="",H371=""),"",I371-H371)</f>
        <v/>
      </c>
      <c r="K371" s="12">
        <f>IF(A371="","",IF(ISNA(MATCH(A371,Products!$A:$A,0)),"NAME NOT IN PRODUCTS",IF(D371="","ADD STORE SKU",IF(LEFT(D371,2)&lt;&gt;"v-","CHECK: STORE SKU STARTS WITH v-",IF(COUNTIF($D:$D,D371)&gt;1,"DUPLICATE STORE SKU",IF(COUNTIFS($A:$A,A371,$B:$B,B371,$C:$C,C371)&gt;1,"DUPLICATE COLOUR + SIZE","OK"))))))</f>
        <v/>
      </c>
    </row>
    <row r="372">
      <c r="A372" s="9" t="n"/>
      <c r="B372" s="9" t="n"/>
      <c r="C372" s="9" t="n"/>
      <c r="D372" s="9" t="n"/>
      <c r="E372" s="11" t="n"/>
      <c r="F372" s="13" t="n"/>
      <c r="G372" s="11" t="n"/>
      <c r="H372" s="13" t="n"/>
      <c r="I372" s="14">
        <f>IF(A372="","",IF(F372&lt;&gt;"",F372,IFERROR(INDEX(Products!$C:$C,MATCH(A372,Products!$A:$A,0)),"")))</f>
        <v/>
      </c>
      <c r="J372" s="14">
        <f>IF(OR(I372="",H372=""),"",I372-H372)</f>
        <v/>
      </c>
      <c r="K372" s="12">
        <f>IF(A372="","",IF(ISNA(MATCH(A372,Products!$A:$A,0)),"NAME NOT IN PRODUCTS",IF(D372="","ADD STORE SKU",IF(LEFT(D372,2)&lt;&gt;"v-","CHECK: STORE SKU STARTS WITH v-",IF(COUNTIF($D:$D,D372)&gt;1,"DUPLICATE STORE SKU",IF(COUNTIFS($A:$A,A372,$B:$B,B372,$C:$C,C372)&gt;1,"DUPLICATE COLOUR + SIZE","OK"))))))</f>
        <v/>
      </c>
    </row>
    <row r="373">
      <c r="A373" s="9" t="n"/>
      <c r="B373" s="9" t="n"/>
      <c r="C373" s="9" t="n"/>
      <c r="D373" s="9" t="n"/>
      <c r="E373" s="11" t="n"/>
      <c r="F373" s="13" t="n"/>
      <c r="G373" s="11" t="n"/>
      <c r="H373" s="13" t="n"/>
      <c r="I373" s="14">
        <f>IF(A373="","",IF(F373&lt;&gt;"",F373,IFERROR(INDEX(Products!$C:$C,MATCH(A373,Products!$A:$A,0)),"")))</f>
        <v/>
      </c>
      <c r="J373" s="14">
        <f>IF(OR(I373="",H373=""),"",I373-H373)</f>
        <v/>
      </c>
      <c r="K373" s="12">
        <f>IF(A373="","",IF(ISNA(MATCH(A373,Products!$A:$A,0)),"NAME NOT IN PRODUCTS",IF(D373="","ADD STORE SKU",IF(LEFT(D373,2)&lt;&gt;"v-","CHECK: STORE SKU STARTS WITH v-",IF(COUNTIF($D:$D,D373)&gt;1,"DUPLICATE STORE SKU",IF(COUNTIFS($A:$A,A373,$B:$B,B373,$C:$C,C373)&gt;1,"DUPLICATE COLOUR + SIZE","OK"))))))</f>
        <v/>
      </c>
    </row>
    <row r="374">
      <c r="A374" s="9" t="n"/>
      <c r="B374" s="9" t="n"/>
      <c r="C374" s="9" t="n"/>
      <c r="D374" s="9" t="n"/>
      <c r="E374" s="11" t="n"/>
      <c r="F374" s="13" t="n"/>
      <c r="G374" s="11" t="n"/>
      <c r="H374" s="13" t="n"/>
      <c r="I374" s="14">
        <f>IF(A374="","",IF(F374&lt;&gt;"",F374,IFERROR(INDEX(Products!$C:$C,MATCH(A374,Products!$A:$A,0)),"")))</f>
        <v/>
      </c>
      <c r="J374" s="14">
        <f>IF(OR(I374="",H374=""),"",I374-H374)</f>
        <v/>
      </c>
      <c r="K374" s="12">
        <f>IF(A374="","",IF(ISNA(MATCH(A374,Products!$A:$A,0)),"NAME NOT IN PRODUCTS",IF(D374="","ADD STORE SKU",IF(LEFT(D374,2)&lt;&gt;"v-","CHECK: STORE SKU STARTS WITH v-",IF(COUNTIF($D:$D,D374)&gt;1,"DUPLICATE STORE SKU",IF(COUNTIFS($A:$A,A374,$B:$B,B374,$C:$C,C374)&gt;1,"DUPLICATE COLOUR + SIZE","OK"))))))</f>
        <v/>
      </c>
    </row>
    <row r="375">
      <c r="A375" s="9" t="n"/>
      <c r="B375" s="9" t="n"/>
      <c r="C375" s="9" t="n"/>
      <c r="D375" s="9" t="n"/>
      <c r="E375" s="11" t="n"/>
      <c r="F375" s="13" t="n"/>
      <c r="G375" s="11" t="n"/>
      <c r="H375" s="13" t="n"/>
      <c r="I375" s="14">
        <f>IF(A375="","",IF(F375&lt;&gt;"",F375,IFERROR(INDEX(Products!$C:$C,MATCH(A375,Products!$A:$A,0)),"")))</f>
        <v/>
      </c>
      <c r="J375" s="14">
        <f>IF(OR(I375="",H375=""),"",I375-H375)</f>
        <v/>
      </c>
      <c r="K375" s="12">
        <f>IF(A375="","",IF(ISNA(MATCH(A375,Products!$A:$A,0)),"NAME NOT IN PRODUCTS",IF(D375="","ADD STORE SKU",IF(LEFT(D375,2)&lt;&gt;"v-","CHECK: STORE SKU STARTS WITH v-",IF(COUNTIF($D:$D,D375)&gt;1,"DUPLICATE STORE SKU",IF(COUNTIFS($A:$A,A375,$B:$B,B375,$C:$C,C375)&gt;1,"DUPLICATE COLOUR + SIZE","OK"))))))</f>
        <v/>
      </c>
    </row>
    <row r="376">
      <c r="A376" s="9" t="n"/>
      <c r="B376" s="9" t="n"/>
      <c r="C376" s="9" t="n"/>
      <c r="D376" s="9" t="n"/>
      <c r="E376" s="11" t="n"/>
      <c r="F376" s="13" t="n"/>
      <c r="G376" s="11" t="n"/>
      <c r="H376" s="13" t="n"/>
      <c r="I376" s="14">
        <f>IF(A376="","",IF(F376&lt;&gt;"",F376,IFERROR(INDEX(Products!$C:$C,MATCH(A376,Products!$A:$A,0)),"")))</f>
        <v/>
      </c>
      <c r="J376" s="14">
        <f>IF(OR(I376="",H376=""),"",I376-H376)</f>
        <v/>
      </c>
      <c r="K376" s="12">
        <f>IF(A376="","",IF(ISNA(MATCH(A376,Products!$A:$A,0)),"NAME NOT IN PRODUCTS",IF(D376="","ADD STORE SKU",IF(LEFT(D376,2)&lt;&gt;"v-","CHECK: STORE SKU STARTS WITH v-",IF(COUNTIF($D:$D,D376)&gt;1,"DUPLICATE STORE SKU",IF(COUNTIFS($A:$A,A376,$B:$B,B376,$C:$C,C376)&gt;1,"DUPLICATE COLOUR + SIZE","OK"))))))</f>
        <v/>
      </c>
    </row>
    <row r="377">
      <c r="A377" s="9" t="n"/>
      <c r="B377" s="9" t="n"/>
      <c r="C377" s="9" t="n"/>
      <c r="D377" s="9" t="n"/>
      <c r="E377" s="11" t="n"/>
      <c r="F377" s="13" t="n"/>
      <c r="G377" s="11" t="n"/>
      <c r="H377" s="13" t="n"/>
      <c r="I377" s="14">
        <f>IF(A377="","",IF(F377&lt;&gt;"",F377,IFERROR(INDEX(Products!$C:$C,MATCH(A377,Products!$A:$A,0)),"")))</f>
        <v/>
      </c>
      <c r="J377" s="14">
        <f>IF(OR(I377="",H377=""),"",I377-H377)</f>
        <v/>
      </c>
      <c r="K377" s="12">
        <f>IF(A377="","",IF(ISNA(MATCH(A377,Products!$A:$A,0)),"NAME NOT IN PRODUCTS",IF(D377="","ADD STORE SKU",IF(LEFT(D377,2)&lt;&gt;"v-","CHECK: STORE SKU STARTS WITH v-",IF(COUNTIF($D:$D,D377)&gt;1,"DUPLICATE STORE SKU",IF(COUNTIFS($A:$A,A377,$B:$B,B377,$C:$C,C377)&gt;1,"DUPLICATE COLOUR + SIZE","OK"))))))</f>
        <v/>
      </c>
    </row>
    <row r="378">
      <c r="A378" s="9" t="n"/>
      <c r="B378" s="9" t="n"/>
      <c r="C378" s="9" t="n"/>
      <c r="D378" s="9" t="n"/>
      <c r="E378" s="11" t="n"/>
      <c r="F378" s="13" t="n"/>
      <c r="G378" s="11" t="n"/>
      <c r="H378" s="13" t="n"/>
      <c r="I378" s="14">
        <f>IF(A378="","",IF(F378&lt;&gt;"",F378,IFERROR(INDEX(Products!$C:$C,MATCH(A378,Products!$A:$A,0)),"")))</f>
        <v/>
      </c>
      <c r="J378" s="14">
        <f>IF(OR(I378="",H378=""),"",I378-H378)</f>
        <v/>
      </c>
      <c r="K378" s="12">
        <f>IF(A378="","",IF(ISNA(MATCH(A378,Products!$A:$A,0)),"NAME NOT IN PRODUCTS",IF(D378="","ADD STORE SKU",IF(LEFT(D378,2)&lt;&gt;"v-","CHECK: STORE SKU STARTS WITH v-",IF(COUNTIF($D:$D,D378)&gt;1,"DUPLICATE STORE SKU",IF(COUNTIFS($A:$A,A378,$B:$B,B378,$C:$C,C378)&gt;1,"DUPLICATE COLOUR + SIZE","OK"))))))</f>
        <v/>
      </c>
    </row>
    <row r="379">
      <c r="A379" s="9" t="n"/>
      <c r="B379" s="9" t="n"/>
      <c r="C379" s="9" t="n"/>
      <c r="D379" s="9" t="n"/>
      <c r="E379" s="11" t="n"/>
      <c r="F379" s="13" t="n"/>
      <c r="G379" s="11" t="n"/>
      <c r="H379" s="13" t="n"/>
      <c r="I379" s="14">
        <f>IF(A379="","",IF(F379&lt;&gt;"",F379,IFERROR(INDEX(Products!$C:$C,MATCH(A379,Products!$A:$A,0)),"")))</f>
        <v/>
      </c>
      <c r="J379" s="14">
        <f>IF(OR(I379="",H379=""),"",I379-H379)</f>
        <v/>
      </c>
      <c r="K379" s="12">
        <f>IF(A379="","",IF(ISNA(MATCH(A379,Products!$A:$A,0)),"NAME NOT IN PRODUCTS",IF(D379="","ADD STORE SKU",IF(LEFT(D379,2)&lt;&gt;"v-","CHECK: STORE SKU STARTS WITH v-",IF(COUNTIF($D:$D,D379)&gt;1,"DUPLICATE STORE SKU",IF(COUNTIFS($A:$A,A379,$B:$B,B379,$C:$C,C379)&gt;1,"DUPLICATE COLOUR + SIZE","OK"))))))</f>
        <v/>
      </c>
    </row>
    <row r="380">
      <c r="A380" s="9" t="n"/>
      <c r="B380" s="9" t="n"/>
      <c r="C380" s="9" t="n"/>
      <c r="D380" s="9" t="n"/>
      <c r="E380" s="11" t="n"/>
      <c r="F380" s="13" t="n"/>
      <c r="G380" s="11" t="n"/>
      <c r="H380" s="13" t="n"/>
      <c r="I380" s="14">
        <f>IF(A380="","",IF(F380&lt;&gt;"",F380,IFERROR(INDEX(Products!$C:$C,MATCH(A380,Products!$A:$A,0)),"")))</f>
        <v/>
      </c>
      <c r="J380" s="14">
        <f>IF(OR(I380="",H380=""),"",I380-H380)</f>
        <v/>
      </c>
      <c r="K380" s="12">
        <f>IF(A380="","",IF(ISNA(MATCH(A380,Products!$A:$A,0)),"NAME NOT IN PRODUCTS",IF(D380="","ADD STORE SKU",IF(LEFT(D380,2)&lt;&gt;"v-","CHECK: STORE SKU STARTS WITH v-",IF(COUNTIF($D:$D,D380)&gt;1,"DUPLICATE STORE SKU",IF(COUNTIFS($A:$A,A380,$B:$B,B380,$C:$C,C380)&gt;1,"DUPLICATE COLOUR + SIZE","OK"))))))</f>
        <v/>
      </c>
    </row>
    <row r="381">
      <c r="A381" s="9" t="n"/>
      <c r="B381" s="9" t="n"/>
      <c r="C381" s="9" t="n"/>
      <c r="D381" s="9" t="n"/>
      <c r="E381" s="11" t="n"/>
      <c r="F381" s="13" t="n"/>
      <c r="G381" s="11" t="n"/>
      <c r="H381" s="13" t="n"/>
      <c r="I381" s="14">
        <f>IF(A381="","",IF(F381&lt;&gt;"",F381,IFERROR(INDEX(Products!$C:$C,MATCH(A381,Products!$A:$A,0)),"")))</f>
        <v/>
      </c>
      <c r="J381" s="14">
        <f>IF(OR(I381="",H381=""),"",I381-H381)</f>
        <v/>
      </c>
      <c r="K381" s="12">
        <f>IF(A381="","",IF(ISNA(MATCH(A381,Products!$A:$A,0)),"NAME NOT IN PRODUCTS",IF(D381="","ADD STORE SKU",IF(LEFT(D381,2)&lt;&gt;"v-","CHECK: STORE SKU STARTS WITH v-",IF(COUNTIF($D:$D,D381)&gt;1,"DUPLICATE STORE SKU",IF(COUNTIFS($A:$A,A381,$B:$B,B381,$C:$C,C381)&gt;1,"DUPLICATE COLOUR + SIZE","OK"))))))</f>
        <v/>
      </c>
    </row>
    <row r="382">
      <c r="A382" s="9" t="n"/>
      <c r="B382" s="9" t="n"/>
      <c r="C382" s="9" t="n"/>
      <c r="D382" s="9" t="n"/>
      <c r="E382" s="11" t="n"/>
      <c r="F382" s="13" t="n"/>
      <c r="G382" s="11" t="n"/>
      <c r="H382" s="13" t="n"/>
      <c r="I382" s="14">
        <f>IF(A382="","",IF(F382&lt;&gt;"",F382,IFERROR(INDEX(Products!$C:$C,MATCH(A382,Products!$A:$A,0)),"")))</f>
        <v/>
      </c>
      <c r="J382" s="14">
        <f>IF(OR(I382="",H382=""),"",I382-H382)</f>
        <v/>
      </c>
      <c r="K382" s="12">
        <f>IF(A382="","",IF(ISNA(MATCH(A382,Products!$A:$A,0)),"NAME NOT IN PRODUCTS",IF(D382="","ADD STORE SKU",IF(LEFT(D382,2)&lt;&gt;"v-","CHECK: STORE SKU STARTS WITH v-",IF(COUNTIF($D:$D,D382)&gt;1,"DUPLICATE STORE SKU",IF(COUNTIFS($A:$A,A382,$B:$B,B382,$C:$C,C382)&gt;1,"DUPLICATE COLOUR + SIZE","OK"))))))</f>
        <v/>
      </c>
    </row>
    <row r="383">
      <c r="A383" s="9" t="n"/>
      <c r="B383" s="9" t="n"/>
      <c r="C383" s="9" t="n"/>
      <c r="D383" s="9" t="n"/>
      <c r="E383" s="11" t="n"/>
      <c r="F383" s="13" t="n"/>
      <c r="G383" s="11" t="n"/>
      <c r="H383" s="13" t="n"/>
      <c r="I383" s="14">
        <f>IF(A383="","",IF(F383&lt;&gt;"",F383,IFERROR(INDEX(Products!$C:$C,MATCH(A383,Products!$A:$A,0)),"")))</f>
        <v/>
      </c>
      <c r="J383" s="14">
        <f>IF(OR(I383="",H383=""),"",I383-H383)</f>
        <v/>
      </c>
      <c r="K383" s="12">
        <f>IF(A383="","",IF(ISNA(MATCH(A383,Products!$A:$A,0)),"NAME NOT IN PRODUCTS",IF(D383="","ADD STORE SKU",IF(LEFT(D383,2)&lt;&gt;"v-","CHECK: STORE SKU STARTS WITH v-",IF(COUNTIF($D:$D,D383)&gt;1,"DUPLICATE STORE SKU",IF(COUNTIFS($A:$A,A383,$B:$B,B383,$C:$C,C383)&gt;1,"DUPLICATE COLOUR + SIZE","OK"))))))</f>
        <v/>
      </c>
    </row>
    <row r="384">
      <c r="A384" s="9" t="n"/>
      <c r="B384" s="9" t="n"/>
      <c r="C384" s="9" t="n"/>
      <c r="D384" s="9" t="n"/>
      <c r="E384" s="11" t="n"/>
      <c r="F384" s="13" t="n"/>
      <c r="G384" s="11" t="n"/>
      <c r="H384" s="13" t="n"/>
      <c r="I384" s="14">
        <f>IF(A384="","",IF(F384&lt;&gt;"",F384,IFERROR(INDEX(Products!$C:$C,MATCH(A384,Products!$A:$A,0)),"")))</f>
        <v/>
      </c>
      <c r="J384" s="14">
        <f>IF(OR(I384="",H384=""),"",I384-H384)</f>
        <v/>
      </c>
      <c r="K384" s="12">
        <f>IF(A384="","",IF(ISNA(MATCH(A384,Products!$A:$A,0)),"NAME NOT IN PRODUCTS",IF(D384="","ADD STORE SKU",IF(LEFT(D384,2)&lt;&gt;"v-","CHECK: STORE SKU STARTS WITH v-",IF(COUNTIF($D:$D,D384)&gt;1,"DUPLICATE STORE SKU",IF(COUNTIFS($A:$A,A384,$B:$B,B384,$C:$C,C384)&gt;1,"DUPLICATE COLOUR + SIZE","OK"))))))</f>
        <v/>
      </c>
    </row>
    <row r="385">
      <c r="A385" s="9" t="n"/>
      <c r="B385" s="9" t="n"/>
      <c r="C385" s="9" t="n"/>
      <c r="D385" s="9" t="n"/>
      <c r="E385" s="11" t="n"/>
      <c r="F385" s="13" t="n"/>
      <c r="G385" s="11" t="n"/>
      <c r="H385" s="13" t="n"/>
      <c r="I385" s="14">
        <f>IF(A385="","",IF(F385&lt;&gt;"",F385,IFERROR(INDEX(Products!$C:$C,MATCH(A385,Products!$A:$A,0)),"")))</f>
        <v/>
      </c>
      <c r="J385" s="14">
        <f>IF(OR(I385="",H385=""),"",I385-H385)</f>
        <v/>
      </c>
      <c r="K385" s="12">
        <f>IF(A385="","",IF(ISNA(MATCH(A385,Products!$A:$A,0)),"NAME NOT IN PRODUCTS",IF(D385="","ADD STORE SKU",IF(LEFT(D385,2)&lt;&gt;"v-","CHECK: STORE SKU STARTS WITH v-",IF(COUNTIF($D:$D,D385)&gt;1,"DUPLICATE STORE SKU",IF(COUNTIFS($A:$A,A385,$B:$B,B385,$C:$C,C385)&gt;1,"DUPLICATE COLOUR + SIZE","OK"))))))</f>
        <v/>
      </c>
    </row>
    <row r="386">
      <c r="A386" s="9" t="n"/>
      <c r="B386" s="9" t="n"/>
      <c r="C386" s="9" t="n"/>
      <c r="D386" s="9" t="n"/>
      <c r="E386" s="11" t="n"/>
      <c r="F386" s="13" t="n"/>
      <c r="G386" s="11" t="n"/>
      <c r="H386" s="13" t="n"/>
      <c r="I386" s="14">
        <f>IF(A386="","",IF(F386&lt;&gt;"",F386,IFERROR(INDEX(Products!$C:$C,MATCH(A386,Products!$A:$A,0)),"")))</f>
        <v/>
      </c>
      <c r="J386" s="14">
        <f>IF(OR(I386="",H386=""),"",I386-H386)</f>
        <v/>
      </c>
      <c r="K386" s="12">
        <f>IF(A386="","",IF(ISNA(MATCH(A386,Products!$A:$A,0)),"NAME NOT IN PRODUCTS",IF(D386="","ADD STORE SKU",IF(LEFT(D386,2)&lt;&gt;"v-","CHECK: STORE SKU STARTS WITH v-",IF(COUNTIF($D:$D,D386)&gt;1,"DUPLICATE STORE SKU",IF(COUNTIFS($A:$A,A386,$B:$B,B386,$C:$C,C386)&gt;1,"DUPLICATE COLOUR + SIZE","OK"))))))</f>
        <v/>
      </c>
    </row>
    <row r="387">
      <c r="A387" s="9" t="n"/>
      <c r="B387" s="9" t="n"/>
      <c r="C387" s="9" t="n"/>
      <c r="D387" s="9" t="n"/>
      <c r="E387" s="11" t="n"/>
      <c r="F387" s="13" t="n"/>
      <c r="G387" s="11" t="n"/>
      <c r="H387" s="13" t="n"/>
      <c r="I387" s="14">
        <f>IF(A387="","",IF(F387&lt;&gt;"",F387,IFERROR(INDEX(Products!$C:$C,MATCH(A387,Products!$A:$A,0)),"")))</f>
        <v/>
      </c>
      <c r="J387" s="14">
        <f>IF(OR(I387="",H387=""),"",I387-H387)</f>
        <v/>
      </c>
      <c r="K387" s="12">
        <f>IF(A387="","",IF(ISNA(MATCH(A387,Products!$A:$A,0)),"NAME NOT IN PRODUCTS",IF(D387="","ADD STORE SKU",IF(LEFT(D387,2)&lt;&gt;"v-","CHECK: STORE SKU STARTS WITH v-",IF(COUNTIF($D:$D,D387)&gt;1,"DUPLICATE STORE SKU",IF(COUNTIFS($A:$A,A387,$B:$B,B387,$C:$C,C387)&gt;1,"DUPLICATE COLOUR + SIZE","OK"))))))</f>
        <v/>
      </c>
    </row>
    <row r="388">
      <c r="A388" s="9" t="n"/>
      <c r="B388" s="9" t="n"/>
      <c r="C388" s="9" t="n"/>
      <c r="D388" s="9" t="n"/>
      <c r="E388" s="11" t="n"/>
      <c r="F388" s="13" t="n"/>
      <c r="G388" s="11" t="n"/>
      <c r="H388" s="13" t="n"/>
      <c r="I388" s="14">
        <f>IF(A388="","",IF(F388&lt;&gt;"",F388,IFERROR(INDEX(Products!$C:$C,MATCH(A388,Products!$A:$A,0)),"")))</f>
        <v/>
      </c>
      <c r="J388" s="14">
        <f>IF(OR(I388="",H388=""),"",I388-H388)</f>
        <v/>
      </c>
      <c r="K388" s="12">
        <f>IF(A388="","",IF(ISNA(MATCH(A388,Products!$A:$A,0)),"NAME NOT IN PRODUCTS",IF(D388="","ADD STORE SKU",IF(LEFT(D388,2)&lt;&gt;"v-","CHECK: STORE SKU STARTS WITH v-",IF(COUNTIF($D:$D,D388)&gt;1,"DUPLICATE STORE SKU",IF(COUNTIFS($A:$A,A388,$B:$B,B388,$C:$C,C388)&gt;1,"DUPLICATE COLOUR + SIZE","OK"))))))</f>
        <v/>
      </c>
    </row>
    <row r="389">
      <c r="A389" s="9" t="n"/>
      <c r="B389" s="9" t="n"/>
      <c r="C389" s="9" t="n"/>
      <c r="D389" s="9" t="n"/>
      <c r="E389" s="11" t="n"/>
      <c r="F389" s="13" t="n"/>
      <c r="G389" s="11" t="n"/>
      <c r="H389" s="13" t="n"/>
      <c r="I389" s="14">
        <f>IF(A389="","",IF(F389&lt;&gt;"",F389,IFERROR(INDEX(Products!$C:$C,MATCH(A389,Products!$A:$A,0)),"")))</f>
        <v/>
      </c>
      <c r="J389" s="14">
        <f>IF(OR(I389="",H389=""),"",I389-H389)</f>
        <v/>
      </c>
      <c r="K389" s="12">
        <f>IF(A389="","",IF(ISNA(MATCH(A389,Products!$A:$A,0)),"NAME NOT IN PRODUCTS",IF(D389="","ADD STORE SKU",IF(LEFT(D389,2)&lt;&gt;"v-","CHECK: STORE SKU STARTS WITH v-",IF(COUNTIF($D:$D,D389)&gt;1,"DUPLICATE STORE SKU",IF(COUNTIFS($A:$A,A389,$B:$B,B389,$C:$C,C389)&gt;1,"DUPLICATE COLOUR + SIZE","OK"))))))</f>
        <v/>
      </c>
    </row>
    <row r="390">
      <c r="A390" s="9" t="n"/>
      <c r="B390" s="9" t="n"/>
      <c r="C390" s="9" t="n"/>
      <c r="D390" s="9" t="n"/>
      <c r="E390" s="11" t="n"/>
      <c r="F390" s="13" t="n"/>
      <c r="G390" s="11" t="n"/>
      <c r="H390" s="13" t="n"/>
      <c r="I390" s="14">
        <f>IF(A390="","",IF(F390&lt;&gt;"",F390,IFERROR(INDEX(Products!$C:$C,MATCH(A390,Products!$A:$A,0)),"")))</f>
        <v/>
      </c>
      <c r="J390" s="14">
        <f>IF(OR(I390="",H390=""),"",I390-H390)</f>
        <v/>
      </c>
      <c r="K390" s="12">
        <f>IF(A390="","",IF(ISNA(MATCH(A390,Products!$A:$A,0)),"NAME NOT IN PRODUCTS",IF(D390="","ADD STORE SKU",IF(LEFT(D390,2)&lt;&gt;"v-","CHECK: STORE SKU STARTS WITH v-",IF(COUNTIF($D:$D,D390)&gt;1,"DUPLICATE STORE SKU",IF(COUNTIFS($A:$A,A390,$B:$B,B390,$C:$C,C390)&gt;1,"DUPLICATE COLOUR + SIZE","OK"))))))</f>
        <v/>
      </c>
    </row>
    <row r="391">
      <c r="A391" s="9" t="n"/>
      <c r="B391" s="9" t="n"/>
      <c r="C391" s="9" t="n"/>
      <c r="D391" s="9" t="n"/>
      <c r="E391" s="11" t="n"/>
      <c r="F391" s="13" t="n"/>
      <c r="G391" s="11" t="n"/>
      <c r="H391" s="13" t="n"/>
      <c r="I391" s="14">
        <f>IF(A391="","",IF(F391&lt;&gt;"",F391,IFERROR(INDEX(Products!$C:$C,MATCH(A391,Products!$A:$A,0)),"")))</f>
        <v/>
      </c>
      <c r="J391" s="14">
        <f>IF(OR(I391="",H391=""),"",I391-H391)</f>
        <v/>
      </c>
      <c r="K391" s="12">
        <f>IF(A391="","",IF(ISNA(MATCH(A391,Products!$A:$A,0)),"NAME NOT IN PRODUCTS",IF(D391="","ADD STORE SKU",IF(LEFT(D391,2)&lt;&gt;"v-","CHECK: STORE SKU STARTS WITH v-",IF(COUNTIF($D:$D,D391)&gt;1,"DUPLICATE STORE SKU",IF(COUNTIFS($A:$A,A391,$B:$B,B391,$C:$C,C391)&gt;1,"DUPLICATE COLOUR + SIZE","OK"))))))</f>
        <v/>
      </c>
    </row>
    <row r="392">
      <c r="A392" s="9" t="n"/>
      <c r="B392" s="9" t="n"/>
      <c r="C392" s="9" t="n"/>
      <c r="D392" s="9" t="n"/>
      <c r="E392" s="11" t="n"/>
      <c r="F392" s="13" t="n"/>
      <c r="G392" s="11" t="n"/>
      <c r="H392" s="13" t="n"/>
      <c r="I392" s="14">
        <f>IF(A392="","",IF(F392&lt;&gt;"",F392,IFERROR(INDEX(Products!$C:$C,MATCH(A392,Products!$A:$A,0)),"")))</f>
        <v/>
      </c>
      <c r="J392" s="14">
        <f>IF(OR(I392="",H392=""),"",I392-H392)</f>
        <v/>
      </c>
      <c r="K392" s="12">
        <f>IF(A392="","",IF(ISNA(MATCH(A392,Products!$A:$A,0)),"NAME NOT IN PRODUCTS",IF(D392="","ADD STORE SKU",IF(LEFT(D392,2)&lt;&gt;"v-","CHECK: STORE SKU STARTS WITH v-",IF(COUNTIF($D:$D,D392)&gt;1,"DUPLICATE STORE SKU",IF(COUNTIFS($A:$A,A392,$B:$B,B392,$C:$C,C392)&gt;1,"DUPLICATE COLOUR + SIZE","OK"))))))</f>
        <v/>
      </c>
    </row>
    <row r="393">
      <c r="A393" s="9" t="n"/>
      <c r="B393" s="9" t="n"/>
      <c r="C393" s="9" t="n"/>
      <c r="D393" s="9" t="n"/>
      <c r="E393" s="11" t="n"/>
      <c r="F393" s="13" t="n"/>
      <c r="G393" s="11" t="n"/>
      <c r="H393" s="13" t="n"/>
      <c r="I393" s="14">
        <f>IF(A393="","",IF(F393&lt;&gt;"",F393,IFERROR(INDEX(Products!$C:$C,MATCH(A393,Products!$A:$A,0)),"")))</f>
        <v/>
      </c>
      <c r="J393" s="14">
        <f>IF(OR(I393="",H393=""),"",I393-H393)</f>
        <v/>
      </c>
      <c r="K393" s="12">
        <f>IF(A393="","",IF(ISNA(MATCH(A393,Products!$A:$A,0)),"NAME NOT IN PRODUCTS",IF(D393="","ADD STORE SKU",IF(LEFT(D393,2)&lt;&gt;"v-","CHECK: STORE SKU STARTS WITH v-",IF(COUNTIF($D:$D,D393)&gt;1,"DUPLICATE STORE SKU",IF(COUNTIFS($A:$A,A393,$B:$B,B393,$C:$C,C393)&gt;1,"DUPLICATE COLOUR + SIZE","OK"))))))</f>
        <v/>
      </c>
    </row>
    <row r="394">
      <c r="A394" s="9" t="n"/>
      <c r="B394" s="9" t="n"/>
      <c r="C394" s="9" t="n"/>
      <c r="D394" s="9" t="n"/>
      <c r="E394" s="11" t="n"/>
      <c r="F394" s="13" t="n"/>
      <c r="G394" s="11" t="n"/>
      <c r="H394" s="13" t="n"/>
      <c r="I394" s="14">
        <f>IF(A394="","",IF(F394&lt;&gt;"",F394,IFERROR(INDEX(Products!$C:$C,MATCH(A394,Products!$A:$A,0)),"")))</f>
        <v/>
      </c>
      <c r="J394" s="14">
        <f>IF(OR(I394="",H394=""),"",I394-H394)</f>
        <v/>
      </c>
      <c r="K394" s="12">
        <f>IF(A394="","",IF(ISNA(MATCH(A394,Products!$A:$A,0)),"NAME NOT IN PRODUCTS",IF(D394="","ADD STORE SKU",IF(LEFT(D394,2)&lt;&gt;"v-","CHECK: STORE SKU STARTS WITH v-",IF(COUNTIF($D:$D,D394)&gt;1,"DUPLICATE STORE SKU",IF(COUNTIFS($A:$A,A394,$B:$B,B394,$C:$C,C394)&gt;1,"DUPLICATE COLOUR + SIZE","OK"))))))</f>
        <v/>
      </c>
    </row>
    <row r="395">
      <c r="A395" s="9" t="n"/>
      <c r="B395" s="9" t="n"/>
      <c r="C395" s="9" t="n"/>
      <c r="D395" s="9" t="n"/>
      <c r="E395" s="11" t="n"/>
      <c r="F395" s="13" t="n"/>
      <c r="G395" s="11" t="n"/>
      <c r="H395" s="13" t="n"/>
      <c r="I395" s="14">
        <f>IF(A395="","",IF(F395&lt;&gt;"",F395,IFERROR(INDEX(Products!$C:$C,MATCH(A395,Products!$A:$A,0)),"")))</f>
        <v/>
      </c>
      <c r="J395" s="14">
        <f>IF(OR(I395="",H395=""),"",I395-H395)</f>
        <v/>
      </c>
      <c r="K395" s="12">
        <f>IF(A395="","",IF(ISNA(MATCH(A395,Products!$A:$A,0)),"NAME NOT IN PRODUCTS",IF(D395="","ADD STORE SKU",IF(LEFT(D395,2)&lt;&gt;"v-","CHECK: STORE SKU STARTS WITH v-",IF(COUNTIF($D:$D,D395)&gt;1,"DUPLICATE STORE SKU",IF(COUNTIFS($A:$A,A395,$B:$B,B395,$C:$C,C395)&gt;1,"DUPLICATE COLOUR + SIZE","OK"))))))</f>
        <v/>
      </c>
    </row>
    <row r="396">
      <c r="A396" s="9" t="n"/>
      <c r="B396" s="9" t="n"/>
      <c r="C396" s="9" t="n"/>
      <c r="D396" s="9" t="n"/>
      <c r="E396" s="11" t="n"/>
      <c r="F396" s="13" t="n"/>
      <c r="G396" s="11" t="n"/>
      <c r="H396" s="13" t="n"/>
      <c r="I396" s="14">
        <f>IF(A396="","",IF(F396&lt;&gt;"",F396,IFERROR(INDEX(Products!$C:$C,MATCH(A396,Products!$A:$A,0)),"")))</f>
        <v/>
      </c>
      <c r="J396" s="14">
        <f>IF(OR(I396="",H396=""),"",I396-H396)</f>
        <v/>
      </c>
      <c r="K396" s="12">
        <f>IF(A396="","",IF(ISNA(MATCH(A396,Products!$A:$A,0)),"NAME NOT IN PRODUCTS",IF(D396="","ADD STORE SKU",IF(LEFT(D396,2)&lt;&gt;"v-","CHECK: STORE SKU STARTS WITH v-",IF(COUNTIF($D:$D,D396)&gt;1,"DUPLICATE STORE SKU",IF(COUNTIFS($A:$A,A396,$B:$B,B396,$C:$C,C396)&gt;1,"DUPLICATE COLOUR + SIZE","OK"))))))</f>
        <v/>
      </c>
    </row>
    <row r="397">
      <c r="A397" s="9" t="n"/>
      <c r="B397" s="9" t="n"/>
      <c r="C397" s="9" t="n"/>
      <c r="D397" s="9" t="n"/>
      <c r="E397" s="11" t="n"/>
      <c r="F397" s="13" t="n"/>
      <c r="G397" s="11" t="n"/>
      <c r="H397" s="13" t="n"/>
      <c r="I397" s="14">
        <f>IF(A397="","",IF(F397&lt;&gt;"",F397,IFERROR(INDEX(Products!$C:$C,MATCH(A397,Products!$A:$A,0)),"")))</f>
        <v/>
      </c>
      <c r="J397" s="14">
        <f>IF(OR(I397="",H397=""),"",I397-H397)</f>
        <v/>
      </c>
      <c r="K397" s="12">
        <f>IF(A397="","",IF(ISNA(MATCH(A397,Products!$A:$A,0)),"NAME NOT IN PRODUCTS",IF(D397="","ADD STORE SKU",IF(LEFT(D397,2)&lt;&gt;"v-","CHECK: STORE SKU STARTS WITH v-",IF(COUNTIF($D:$D,D397)&gt;1,"DUPLICATE STORE SKU",IF(COUNTIFS($A:$A,A397,$B:$B,B397,$C:$C,C397)&gt;1,"DUPLICATE COLOUR + SIZE","OK"))))))</f>
        <v/>
      </c>
    </row>
    <row r="398">
      <c r="A398" s="9" t="n"/>
      <c r="B398" s="9" t="n"/>
      <c r="C398" s="9" t="n"/>
      <c r="D398" s="9" t="n"/>
      <c r="E398" s="11" t="n"/>
      <c r="F398" s="13" t="n"/>
      <c r="G398" s="11" t="n"/>
      <c r="H398" s="13" t="n"/>
      <c r="I398" s="14">
        <f>IF(A398="","",IF(F398&lt;&gt;"",F398,IFERROR(INDEX(Products!$C:$C,MATCH(A398,Products!$A:$A,0)),"")))</f>
        <v/>
      </c>
      <c r="J398" s="14">
        <f>IF(OR(I398="",H398=""),"",I398-H398)</f>
        <v/>
      </c>
      <c r="K398" s="12">
        <f>IF(A398="","",IF(ISNA(MATCH(A398,Products!$A:$A,0)),"NAME NOT IN PRODUCTS",IF(D398="","ADD STORE SKU",IF(LEFT(D398,2)&lt;&gt;"v-","CHECK: STORE SKU STARTS WITH v-",IF(COUNTIF($D:$D,D398)&gt;1,"DUPLICATE STORE SKU",IF(COUNTIFS($A:$A,A398,$B:$B,B398,$C:$C,C398)&gt;1,"DUPLICATE COLOUR + SIZE","OK"))))))</f>
        <v/>
      </c>
    </row>
    <row r="399">
      <c r="A399" s="9" t="n"/>
      <c r="B399" s="9" t="n"/>
      <c r="C399" s="9" t="n"/>
      <c r="D399" s="9" t="n"/>
      <c r="E399" s="11" t="n"/>
      <c r="F399" s="13" t="n"/>
      <c r="G399" s="11" t="n"/>
      <c r="H399" s="13" t="n"/>
      <c r="I399" s="14">
        <f>IF(A399="","",IF(F399&lt;&gt;"",F399,IFERROR(INDEX(Products!$C:$C,MATCH(A399,Products!$A:$A,0)),"")))</f>
        <v/>
      </c>
      <c r="J399" s="14">
        <f>IF(OR(I399="",H399=""),"",I399-H399)</f>
        <v/>
      </c>
      <c r="K399" s="12">
        <f>IF(A399="","",IF(ISNA(MATCH(A399,Products!$A:$A,0)),"NAME NOT IN PRODUCTS",IF(D399="","ADD STORE SKU",IF(LEFT(D399,2)&lt;&gt;"v-","CHECK: STORE SKU STARTS WITH v-",IF(COUNTIF($D:$D,D399)&gt;1,"DUPLICATE STORE SKU",IF(COUNTIFS($A:$A,A399,$B:$B,B399,$C:$C,C399)&gt;1,"DUPLICATE COLOUR + SIZE","OK"))))))</f>
        <v/>
      </c>
    </row>
    <row r="400">
      <c r="A400" s="9" t="n"/>
      <c r="B400" s="9" t="n"/>
      <c r="C400" s="9" t="n"/>
      <c r="D400" s="9" t="n"/>
      <c r="E400" s="11" t="n"/>
      <c r="F400" s="13" t="n"/>
      <c r="G400" s="11" t="n"/>
      <c r="H400" s="13" t="n"/>
      <c r="I400" s="14">
        <f>IF(A400="","",IF(F400&lt;&gt;"",F400,IFERROR(INDEX(Products!$C:$C,MATCH(A400,Products!$A:$A,0)),"")))</f>
        <v/>
      </c>
      <c r="J400" s="14">
        <f>IF(OR(I400="",H400=""),"",I400-H400)</f>
        <v/>
      </c>
      <c r="K400" s="12">
        <f>IF(A400="","",IF(ISNA(MATCH(A400,Products!$A:$A,0)),"NAME NOT IN PRODUCTS",IF(D400="","ADD STORE SKU",IF(LEFT(D400,2)&lt;&gt;"v-","CHECK: STORE SKU STARTS WITH v-",IF(COUNTIF($D:$D,D400)&gt;1,"DUPLICATE STORE SKU",IF(COUNTIFS($A:$A,A400,$B:$B,B400,$C:$C,C400)&gt;1,"DUPLICATE COLOUR + SIZE","OK"))))))</f>
        <v/>
      </c>
    </row>
    <row r="401">
      <c r="A401" s="9" t="n"/>
      <c r="B401" s="9" t="n"/>
      <c r="C401" s="9" t="n"/>
      <c r="D401" s="9" t="n"/>
      <c r="E401" s="11" t="n"/>
      <c r="F401" s="13" t="n"/>
      <c r="G401" s="11" t="n"/>
      <c r="H401" s="13" t="n"/>
      <c r="I401" s="14">
        <f>IF(A401="","",IF(F401&lt;&gt;"",F401,IFERROR(INDEX(Products!$C:$C,MATCH(A401,Products!$A:$A,0)),"")))</f>
        <v/>
      </c>
      <c r="J401" s="14">
        <f>IF(OR(I401="",H401=""),"",I401-H401)</f>
        <v/>
      </c>
      <c r="K401" s="12">
        <f>IF(A401="","",IF(ISNA(MATCH(A401,Products!$A:$A,0)),"NAME NOT IN PRODUCTS",IF(D401="","ADD STORE SKU",IF(LEFT(D401,2)&lt;&gt;"v-","CHECK: STORE SKU STARTS WITH v-",IF(COUNTIF($D:$D,D401)&gt;1,"DUPLICATE STORE SKU",IF(COUNTIFS($A:$A,A401,$B:$B,B401,$C:$C,C401)&gt;1,"DUPLICATE COLOUR + SIZE","OK"))))))</f>
        <v/>
      </c>
    </row>
    <row r="402">
      <c r="A402" s="9" t="n"/>
      <c r="B402" s="9" t="n"/>
      <c r="C402" s="9" t="n"/>
      <c r="D402" s="9" t="n"/>
      <c r="E402" s="11" t="n"/>
      <c r="F402" s="13" t="n"/>
      <c r="G402" s="11" t="n"/>
      <c r="H402" s="13" t="n"/>
      <c r="I402" s="14">
        <f>IF(A402="","",IF(F402&lt;&gt;"",F402,IFERROR(INDEX(Products!$C:$C,MATCH(A402,Products!$A:$A,0)),"")))</f>
        <v/>
      </c>
      <c r="J402" s="14">
        <f>IF(OR(I402="",H402=""),"",I402-H402)</f>
        <v/>
      </c>
      <c r="K402" s="12">
        <f>IF(A402="","",IF(ISNA(MATCH(A402,Products!$A:$A,0)),"NAME NOT IN PRODUCTS",IF(D402="","ADD STORE SKU",IF(LEFT(D402,2)&lt;&gt;"v-","CHECK: STORE SKU STARTS WITH v-",IF(COUNTIF($D:$D,D402)&gt;1,"DUPLICATE STORE SKU",IF(COUNTIFS($A:$A,A402,$B:$B,B402,$C:$C,C402)&gt;1,"DUPLICATE COLOUR + SIZE","OK"))))))</f>
        <v/>
      </c>
    </row>
    <row r="403">
      <c r="A403" s="9" t="n"/>
      <c r="B403" s="9" t="n"/>
      <c r="C403" s="9" t="n"/>
      <c r="D403" s="9" t="n"/>
      <c r="E403" s="11" t="n"/>
      <c r="F403" s="13" t="n"/>
      <c r="G403" s="11" t="n"/>
      <c r="H403" s="13" t="n"/>
      <c r="I403" s="14">
        <f>IF(A403="","",IF(F403&lt;&gt;"",F403,IFERROR(INDEX(Products!$C:$C,MATCH(A403,Products!$A:$A,0)),"")))</f>
        <v/>
      </c>
      <c r="J403" s="14">
        <f>IF(OR(I403="",H403=""),"",I403-H403)</f>
        <v/>
      </c>
      <c r="K403" s="12">
        <f>IF(A403="","",IF(ISNA(MATCH(A403,Products!$A:$A,0)),"NAME NOT IN PRODUCTS",IF(D403="","ADD STORE SKU",IF(LEFT(D403,2)&lt;&gt;"v-","CHECK: STORE SKU STARTS WITH v-",IF(COUNTIF($D:$D,D403)&gt;1,"DUPLICATE STORE SKU",IF(COUNTIFS($A:$A,A403,$B:$B,B403,$C:$C,C403)&gt;1,"DUPLICATE COLOUR + SIZE","OK"))))))</f>
        <v/>
      </c>
    </row>
    <row r="404">
      <c r="A404" s="9" t="n"/>
      <c r="B404" s="9" t="n"/>
      <c r="C404" s="9" t="n"/>
      <c r="D404" s="9" t="n"/>
      <c r="E404" s="11" t="n"/>
      <c r="F404" s="13" t="n"/>
      <c r="G404" s="11" t="n"/>
      <c r="H404" s="13" t="n"/>
      <c r="I404" s="14">
        <f>IF(A404="","",IF(F404&lt;&gt;"",F404,IFERROR(INDEX(Products!$C:$C,MATCH(A404,Products!$A:$A,0)),"")))</f>
        <v/>
      </c>
      <c r="J404" s="14">
        <f>IF(OR(I404="",H404=""),"",I404-H404)</f>
        <v/>
      </c>
      <c r="K404" s="12">
        <f>IF(A404="","",IF(ISNA(MATCH(A404,Products!$A:$A,0)),"NAME NOT IN PRODUCTS",IF(D404="","ADD STORE SKU",IF(LEFT(D404,2)&lt;&gt;"v-","CHECK: STORE SKU STARTS WITH v-",IF(COUNTIF($D:$D,D404)&gt;1,"DUPLICATE STORE SKU",IF(COUNTIFS($A:$A,A404,$B:$B,B404,$C:$C,C404)&gt;1,"DUPLICATE COLOUR + SIZE","OK"))))))</f>
        <v/>
      </c>
    </row>
    <row r="405">
      <c r="A405" s="9" t="n"/>
      <c r="B405" s="9" t="n"/>
      <c r="C405" s="9" t="n"/>
      <c r="D405" s="9" t="n"/>
      <c r="E405" s="11" t="n"/>
      <c r="F405" s="13" t="n"/>
      <c r="G405" s="11" t="n"/>
      <c r="H405" s="13" t="n"/>
      <c r="I405" s="14">
        <f>IF(A405="","",IF(F405&lt;&gt;"",F405,IFERROR(INDEX(Products!$C:$C,MATCH(A405,Products!$A:$A,0)),"")))</f>
        <v/>
      </c>
      <c r="J405" s="14">
        <f>IF(OR(I405="",H405=""),"",I405-H405)</f>
        <v/>
      </c>
      <c r="K405" s="12">
        <f>IF(A405="","",IF(ISNA(MATCH(A405,Products!$A:$A,0)),"NAME NOT IN PRODUCTS",IF(D405="","ADD STORE SKU",IF(LEFT(D405,2)&lt;&gt;"v-","CHECK: STORE SKU STARTS WITH v-",IF(COUNTIF($D:$D,D405)&gt;1,"DUPLICATE STORE SKU",IF(COUNTIFS($A:$A,A405,$B:$B,B405,$C:$C,C405)&gt;1,"DUPLICATE COLOUR + SIZE","OK"))))))</f>
        <v/>
      </c>
    </row>
    <row r="406">
      <c r="A406" s="9" t="n"/>
      <c r="B406" s="9" t="n"/>
      <c r="C406" s="9" t="n"/>
      <c r="D406" s="9" t="n"/>
      <c r="E406" s="11" t="n"/>
      <c r="F406" s="13" t="n"/>
      <c r="G406" s="11" t="n"/>
      <c r="H406" s="13" t="n"/>
      <c r="I406" s="14">
        <f>IF(A406="","",IF(F406&lt;&gt;"",F406,IFERROR(INDEX(Products!$C:$C,MATCH(A406,Products!$A:$A,0)),"")))</f>
        <v/>
      </c>
      <c r="J406" s="14">
        <f>IF(OR(I406="",H406=""),"",I406-H406)</f>
        <v/>
      </c>
      <c r="K406" s="12">
        <f>IF(A406="","",IF(ISNA(MATCH(A406,Products!$A:$A,0)),"NAME NOT IN PRODUCTS",IF(D406="","ADD STORE SKU",IF(LEFT(D406,2)&lt;&gt;"v-","CHECK: STORE SKU STARTS WITH v-",IF(COUNTIF($D:$D,D406)&gt;1,"DUPLICATE STORE SKU",IF(COUNTIFS($A:$A,A406,$B:$B,B406,$C:$C,C406)&gt;1,"DUPLICATE COLOUR + SIZE","OK"))))))</f>
        <v/>
      </c>
    </row>
    <row r="407">
      <c r="A407" s="9" t="n"/>
      <c r="B407" s="9" t="n"/>
      <c r="C407" s="9" t="n"/>
      <c r="D407" s="9" t="n"/>
      <c r="E407" s="11" t="n"/>
      <c r="F407" s="13" t="n"/>
      <c r="G407" s="11" t="n"/>
      <c r="H407" s="13" t="n"/>
      <c r="I407" s="14">
        <f>IF(A407="","",IF(F407&lt;&gt;"",F407,IFERROR(INDEX(Products!$C:$C,MATCH(A407,Products!$A:$A,0)),"")))</f>
        <v/>
      </c>
      <c r="J407" s="14">
        <f>IF(OR(I407="",H407=""),"",I407-H407)</f>
        <v/>
      </c>
      <c r="K407" s="12">
        <f>IF(A407="","",IF(ISNA(MATCH(A407,Products!$A:$A,0)),"NAME NOT IN PRODUCTS",IF(D407="","ADD STORE SKU",IF(LEFT(D407,2)&lt;&gt;"v-","CHECK: STORE SKU STARTS WITH v-",IF(COUNTIF($D:$D,D407)&gt;1,"DUPLICATE STORE SKU",IF(COUNTIFS($A:$A,A407,$B:$B,B407,$C:$C,C407)&gt;1,"DUPLICATE COLOUR + SIZE","OK"))))))</f>
        <v/>
      </c>
    </row>
    <row r="408">
      <c r="A408" s="9" t="n"/>
      <c r="B408" s="9" t="n"/>
      <c r="C408" s="9" t="n"/>
      <c r="D408" s="9" t="n"/>
      <c r="E408" s="11" t="n"/>
      <c r="F408" s="13" t="n"/>
      <c r="G408" s="11" t="n"/>
      <c r="H408" s="13" t="n"/>
      <c r="I408" s="14">
        <f>IF(A408="","",IF(F408&lt;&gt;"",F408,IFERROR(INDEX(Products!$C:$C,MATCH(A408,Products!$A:$A,0)),"")))</f>
        <v/>
      </c>
      <c r="J408" s="14">
        <f>IF(OR(I408="",H408=""),"",I408-H408)</f>
        <v/>
      </c>
      <c r="K408" s="12">
        <f>IF(A408="","",IF(ISNA(MATCH(A408,Products!$A:$A,0)),"NAME NOT IN PRODUCTS",IF(D408="","ADD STORE SKU",IF(LEFT(D408,2)&lt;&gt;"v-","CHECK: STORE SKU STARTS WITH v-",IF(COUNTIF($D:$D,D408)&gt;1,"DUPLICATE STORE SKU",IF(COUNTIFS($A:$A,A408,$B:$B,B408,$C:$C,C408)&gt;1,"DUPLICATE COLOUR + SIZE","OK"))))))</f>
        <v/>
      </c>
    </row>
    <row r="409">
      <c r="A409" s="9" t="n"/>
      <c r="B409" s="9" t="n"/>
      <c r="C409" s="9" t="n"/>
      <c r="D409" s="9" t="n"/>
      <c r="E409" s="11" t="n"/>
      <c r="F409" s="13" t="n"/>
      <c r="G409" s="11" t="n"/>
      <c r="H409" s="13" t="n"/>
      <c r="I409" s="14">
        <f>IF(A409="","",IF(F409&lt;&gt;"",F409,IFERROR(INDEX(Products!$C:$C,MATCH(A409,Products!$A:$A,0)),"")))</f>
        <v/>
      </c>
      <c r="J409" s="14">
        <f>IF(OR(I409="",H409=""),"",I409-H409)</f>
        <v/>
      </c>
      <c r="K409" s="12">
        <f>IF(A409="","",IF(ISNA(MATCH(A409,Products!$A:$A,0)),"NAME NOT IN PRODUCTS",IF(D409="","ADD STORE SKU",IF(LEFT(D409,2)&lt;&gt;"v-","CHECK: STORE SKU STARTS WITH v-",IF(COUNTIF($D:$D,D409)&gt;1,"DUPLICATE STORE SKU",IF(COUNTIFS($A:$A,A409,$B:$B,B409,$C:$C,C409)&gt;1,"DUPLICATE COLOUR + SIZE","OK"))))))</f>
        <v/>
      </c>
    </row>
    <row r="410">
      <c r="A410" s="9" t="n"/>
      <c r="B410" s="9" t="n"/>
      <c r="C410" s="9" t="n"/>
      <c r="D410" s="9" t="n"/>
      <c r="E410" s="11" t="n"/>
      <c r="F410" s="13" t="n"/>
      <c r="G410" s="11" t="n"/>
      <c r="H410" s="13" t="n"/>
      <c r="I410" s="14">
        <f>IF(A410="","",IF(F410&lt;&gt;"",F410,IFERROR(INDEX(Products!$C:$C,MATCH(A410,Products!$A:$A,0)),"")))</f>
        <v/>
      </c>
      <c r="J410" s="14">
        <f>IF(OR(I410="",H410=""),"",I410-H410)</f>
        <v/>
      </c>
      <c r="K410" s="12">
        <f>IF(A410="","",IF(ISNA(MATCH(A410,Products!$A:$A,0)),"NAME NOT IN PRODUCTS",IF(D410="","ADD STORE SKU",IF(LEFT(D410,2)&lt;&gt;"v-","CHECK: STORE SKU STARTS WITH v-",IF(COUNTIF($D:$D,D410)&gt;1,"DUPLICATE STORE SKU",IF(COUNTIFS($A:$A,A410,$B:$B,B410,$C:$C,C410)&gt;1,"DUPLICATE COLOUR + SIZE","OK"))))))</f>
        <v/>
      </c>
    </row>
    <row r="411">
      <c r="A411" s="9" t="n"/>
      <c r="B411" s="9" t="n"/>
      <c r="C411" s="9" t="n"/>
      <c r="D411" s="9" t="n"/>
      <c r="E411" s="11" t="n"/>
      <c r="F411" s="13" t="n"/>
      <c r="G411" s="11" t="n"/>
      <c r="H411" s="13" t="n"/>
      <c r="I411" s="14">
        <f>IF(A411="","",IF(F411&lt;&gt;"",F411,IFERROR(INDEX(Products!$C:$C,MATCH(A411,Products!$A:$A,0)),"")))</f>
        <v/>
      </c>
      <c r="J411" s="14">
        <f>IF(OR(I411="",H411=""),"",I411-H411)</f>
        <v/>
      </c>
      <c r="K411" s="12">
        <f>IF(A411="","",IF(ISNA(MATCH(A411,Products!$A:$A,0)),"NAME NOT IN PRODUCTS",IF(D411="","ADD STORE SKU",IF(LEFT(D411,2)&lt;&gt;"v-","CHECK: STORE SKU STARTS WITH v-",IF(COUNTIF($D:$D,D411)&gt;1,"DUPLICATE STORE SKU",IF(COUNTIFS($A:$A,A411,$B:$B,B411,$C:$C,C411)&gt;1,"DUPLICATE COLOUR + SIZE","OK"))))))</f>
        <v/>
      </c>
    </row>
    <row r="412">
      <c r="A412" s="9" t="n"/>
      <c r="B412" s="9" t="n"/>
      <c r="C412" s="9" t="n"/>
      <c r="D412" s="9" t="n"/>
      <c r="E412" s="11" t="n"/>
      <c r="F412" s="13" t="n"/>
      <c r="G412" s="11" t="n"/>
      <c r="H412" s="13" t="n"/>
      <c r="I412" s="14">
        <f>IF(A412="","",IF(F412&lt;&gt;"",F412,IFERROR(INDEX(Products!$C:$C,MATCH(A412,Products!$A:$A,0)),"")))</f>
        <v/>
      </c>
      <c r="J412" s="14">
        <f>IF(OR(I412="",H412=""),"",I412-H412)</f>
        <v/>
      </c>
      <c r="K412" s="12">
        <f>IF(A412="","",IF(ISNA(MATCH(A412,Products!$A:$A,0)),"NAME NOT IN PRODUCTS",IF(D412="","ADD STORE SKU",IF(LEFT(D412,2)&lt;&gt;"v-","CHECK: STORE SKU STARTS WITH v-",IF(COUNTIF($D:$D,D412)&gt;1,"DUPLICATE STORE SKU",IF(COUNTIFS($A:$A,A412,$B:$B,B412,$C:$C,C412)&gt;1,"DUPLICATE COLOUR + SIZE","OK"))))))</f>
        <v/>
      </c>
    </row>
    <row r="413">
      <c r="A413" s="9" t="n"/>
      <c r="B413" s="9" t="n"/>
      <c r="C413" s="9" t="n"/>
      <c r="D413" s="9" t="n"/>
      <c r="E413" s="11" t="n"/>
      <c r="F413" s="13" t="n"/>
      <c r="G413" s="11" t="n"/>
      <c r="H413" s="13" t="n"/>
      <c r="I413" s="14">
        <f>IF(A413="","",IF(F413&lt;&gt;"",F413,IFERROR(INDEX(Products!$C:$C,MATCH(A413,Products!$A:$A,0)),"")))</f>
        <v/>
      </c>
      <c r="J413" s="14">
        <f>IF(OR(I413="",H413=""),"",I413-H413)</f>
        <v/>
      </c>
      <c r="K413" s="12">
        <f>IF(A413="","",IF(ISNA(MATCH(A413,Products!$A:$A,0)),"NAME NOT IN PRODUCTS",IF(D413="","ADD STORE SKU",IF(LEFT(D413,2)&lt;&gt;"v-","CHECK: STORE SKU STARTS WITH v-",IF(COUNTIF($D:$D,D413)&gt;1,"DUPLICATE STORE SKU",IF(COUNTIFS($A:$A,A413,$B:$B,B413,$C:$C,C413)&gt;1,"DUPLICATE COLOUR + SIZE","OK"))))))</f>
        <v/>
      </c>
    </row>
    <row r="414">
      <c r="A414" s="9" t="n"/>
      <c r="B414" s="9" t="n"/>
      <c r="C414" s="9" t="n"/>
      <c r="D414" s="9" t="n"/>
      <c r="E414" s="11" t="n"/>
      <c r="F414" s="13" t="n"/>
      <c r="G414" s="11" t="n"/>
      <c r="H414" s="13" t="n"/>
      <c r="I414" s="14">
        <f>IF(A414="","",IF(F414&lt;&gt;"",F414,IFERROR(INDEX(Products!$C:$C,MATCH(A414,Products!$A:$A,0)),"")))</f>
        <v/>
      </c>
      <c r="J414" s="14">
        <f>IF(OR(I414="",H414=""),"",I414-H414)</f>
        <v/>
      </c>
      <c r="K414" s="12">
        <f>IF(A414="","",IF(ISNA(MATCH(A414,Products!$A:$A,0)),"NAME NOT IN PRODUCTS",IF(D414="","ADD STORE SKU",IF(LEFT(D414,2)&lt;&gt;"v-","CHECK: STORE SKU STARTS WITH v-",IF(COUNTIF($D:$D,D414)&gt;1,"DUPLICATE STORE SKU",IF(COUNTIFS($A:$A,A414,$B:$B,B414,$C:$C,C414)&gt;1,"DUPLICATE COLOUR + SIZE","OK"))))))</f>
        <v/>
      </c>
    </row>
    <row r="415">
      <c r="A415" s="9" t="n"/>
      <c r="B415" s="9" t="n"/>
      <c r="C415" s="9" t="n"/>
      <c r="D415" s="9" t="n"/>
      <c r="E415" s="11" t="n"/>
      <c r="F415" s="13" t="n"/>
      <c r="G415" s="11" t="n"/>
      <c r="H415" s="13" t="n"/>
      <c r="I415" s="14">
        <f>IF(A415="","",IF(F415&lt;&gt;"",F415,IFERROR(INDEX(Products!$C:$C,MATCH(A415,Products!$A:$A,0)),"")))</f>
        <v/>
      </c>
      <c r="J415" s="14">
        <f>IF(OR(I415="",H415=""),"",I415-H415)</f>
        <v/>
      </c>
      <c r="K415" s="12">
        <f>IF(A415="","",IF(ISNA(MATCH(A415,Products!$A:$A,0)),"NAME NOT IN PRODUCTS",IF(D415="","ADD STORE SKU",IF(LEFT(D415,2)&lt;&gt;"v-","CHECK: STORE SKU STARTS WITH v-",IF(COUNTIF($D:$D,D415)&gt;1,"DUPLICATE STORE SKU",IF(COUNTIFS($A:$A,A415,$B:$B,B415,$C:$C,C415)&gt;1,"DUPLICATE COLOUR + SIZE","OK"))))))</f>
        <v/>
      </c>
    </row>
    <row r="416">
      <c r="A416" s="9" t="n"/>
      <c r="B416" s="9" t="n"/>
      <c r="C416" s="9" t="n"/>
      <c r="D416" s="9" t="n"/>
      <c r="E416" s="11" t="n"/>
      <c r="F416" s="13" t="n"/>
      <c r="G416" s="11" t="n"/>
      <c r="H416" s="13" t="n"/>
      <c r="I416" s="14">
        <f>IF(A416="","",IF(F416&lt;&gt;"",F416,IFERROR(INDEX(Products!$C:$C,MATCH(A416,Products!$A:$A,0)),"")))</f>
        <v/>
      </c>
      <c r="J416" s="14">
        <f>IF(OR(I416="",H416=""),"",I416-H416)</f>
        <v/>
      </c>
      <c r="K416" s="12">
        <f>IF(A416="","",IF(ISNA(MATCH(A416,Products!$A:$A,0)),"NAME NOT IN PRODUCTS",IF(D416="","ADD STORE SKU",IF(LEFT(D416,2)&lt;&gt;"v-","CHECK: STORE SKU STARTS WITH v-",IF(COUNTIF($D:$D,D416)&gt;1,"DUPLICATE STORE SKU",IF(COUNTIFS($A:$A,A416,$B:$B,B416,$C:$C,C416)&gt;1,"DUPLICATE COLOUR + SIZE","OK"))))))</f>
        <v/>
      </c>
    </row>
    <row r="417">
      <c r="A417" s="9" t="n"/>
      <c r="B417" s="9" t="n"/>
      <c r="C417" s="9" t="n"/>
      <c r="D417" s="9" t="n"/>
      <c r="E417" s="11" t="n"/>
      <c r="F417" s="13" t="n"/>
      <c r="G417" s="11" t="n"/>
      <c r="H417" s="13" t="n"/>
      <c r="I417" s="14">
        <f>IF(A417="","",IF(F417&lt;&gt;"",F417,IFERROR(INDEX(Products!$C:$C,MATCH(A417,Products!$A:$A,0)),"")))</f>
        <v/>
      </c>
      <c r="J417" s="14">
        <f>IF(OR(I417="",H417=""),"",I417-H417)</f>
        <v/>
      </c>
      <c r="K417" s="12">
        <f>IF(A417="","",IF(ISNA(MATCH(A417,Products!$A:$A,0)),"NAME NOT IN PRODUCTS",IF(D417="","ADD STORE SKU",IF(LEFT(D417,2)&lt;&gt;"v-","CHECK: STORE SKU STARTS WITH v-",IF(COUNTIF($D:$D,D417)&gt;1,"DUPLICATE STORE SKU",IF(COUNTIFS($A:$A,A417,$B:$B,B417,$C:$C,C417)&gt;1,"DUPLICATE COLOUR + SIZE","OK"))))))</f>
        <v/>
      </c>
    </row>
    <row r="418">
      <c r="A418" s="9" t="n"/>
      <c r="B418" s="9" t="n"/>
      <c r="C418" s="9" t="n"/>
      <c r="D418" s="9" t="n"/>
      <c r="E418" s="11" t="n"/>
      <c r="F418" s="13" t="n"/>
      <c r="G418" s="11" t="n"/>
      <c r="H418" s="13" t="n"/>
      <c r="I418" s="14">
        <f>IF(A418="","",IF(F418&lt;&gt;"",F418,IFERROR(INDEX(Products!$C:$C,MATCH(A418,Products!$A:$A,0)),"")))</f>
        <v/>
      </c>
      <c r="J418" s="14">
        <f>IF(OR(I418="",H418=""),"",I418-H418)</f>
        <v/>
      </c>
      <c r="K418" s="12">
        <f>IF(A418="","",IF(ISNA(MATCH(A418,Products!$A:$A,0)),"NAME NOT IN PRODUCTS",IF(D418="","ADD STORE SKU",IF(LEFT(D418,2)&lt;&gt;"v-","CHECK: STORE SKU STARTS WITH v-",IF(COUNTIF($D:$D,D418)&gt;1,"DUPLICATE STORE SKU",IF(COUNTIFS($A:$A,A418,$B:$B,B418,$C:$C,C418)&gt;1,"DUPLICATE COLOUR + SIZE","OK"))))))</f>
        <v/>
      </c>
    </row>
    <row r="419">
      <c r="A419" s="9" t="n"/>
      <c r="B419" s="9" t="n"/>
      <c r="C419" s="9" t="n"/>
      <c r="D419" s="9" t="n"/>
      <c r="E419" s="11" t="n"/>
      <c r="F419" s="13" t="n"/>
      <c r="G419" s="11" t="n"/>
      <c r="H419" s="13" t="n"/>
      <c r="I419" s="14">
        <f>IF(A419="","",IF(F419&lt;&gt;"",F419,IFERROR(INDEX(Products!$C:$C,MATCH(A419,Products!$A:$A,0)),"")))</f>
        <v/>
      </c>
      <c r="J419" s="14">
        <f>IF(OR(I419="",H419=""),"",I419-H419)</f>
        <v/>
      </c>
      <c r="K419" s="12">
        <f>IF(A419="","",IF(ISNA(MATCH(A419,Products!$A:$A,0)),"NAME NOT IN PRODUCTS",IF(D419="","ADD STORE SKU",IF(LEFT(D419,2)&lt;&gt;"v-","CHECK: STORE SKU STARTS WITH v-",IF(COUNTIF($D:$D,D419)&gt;1,"DUPLICATE STORE SKU",IF(COUNTIFS($A:$A,A419,$B:$B,B419,$C:$C,C419)&gt;1,"DUPLICATE COLOUR + SIZE","OK"))))))</f>
        <v/>
      </c>
    </row>
    <row r="420">
      <c r="A420" s="9" t="n"/>
      <c r="B420" s="9" t="n"/>
      <c r="C420" s="9" t="n"/>
      <c r="D420" s="9" t="n"/>
      <c r="E420" s="11" t="n"/>
      <c r="F420" s="13" t="n"/>
      <c r="G420" s="11" t="n"/>
      <c r="H420" s="13" t="n"/>
      <c r="I420" s="14">
        <f>IF(A420="","",IF(F420&lt;&gt;"",F420,IFERROR(INDEX(Products!$C:$C,MATCH(A420,Products!$A:$A,0)),"")))</f>
        <v/>
      </c>
      <c r="J420" s="14">
        <f>IF(OR(I420="",H420=""),"",I420-H420)</f>
        <v/>
      </c>
      <c r="K420" s="12">
        <f>IF(A420="","",IF(ISNA(MATCH(A420,Products!$A:$A,0)),"NAME NOT IN PRODUCTS",IF(D420="","ADD STORE SKU",IF(LEFT(D420,2)&lt;&gt;"v-","CHECK: STORE SKU STARTS WITH v-",IF(COUNTIF($D:$D,D420)&gt;1,"DUPLICATE STORE SKU",IF(COUNTIFS($A:$A,A420,$B:$B,B420,$C:$C,C420)&gt;1,"DUPLICATE COLOUR + SIZE","OK"))))))</f>
        <v/>
      </c>
    </row>
    <row r="421">
      <c r="A421" s="9" t="n"/>
      <c r="B421" s="9" t="n"/>
      <c r="C421" s="9" t="n"/>
      <c r="D421" s="9" t="n"/>
      <c r="E421" s="11" t="n"/>
      <c r="F421" s="13" t="n"/>
      <c r="G421" s="11" t="n"/>
      <c r="H421" s="13" t="n"/>
      <c r="I421" s="14">
        <f>IF(A421="","",IF(F421&lt;&gt;"",F421,IFERROR(INDEX(Products!$C:$C,MATCH(A421,Products!$A:$A,0)),"")))</f>
        <v/>
      </c>
      <c r="J421" s="14">
        <f>IF(OR(I421="",H421=""),"",I421-H421)</f>
        <v/>
      </c>
      <c r="K421" s="12">
        <f>IF(A421="","",IF(ISNA(MATCH(A421,Products!$A:$A,0)),"NAME NOT IN PRODUCTS",IF(D421="","ADD STORE SKU",IF(LEFT(D421,2)&lt;&gt;"v-","CHECK: STORE SKU STARTS WITH v-",IF(COUNTIF($D:$D,D421)&gt;1,"DUPLICATE STORE SKU",IF(COUNTIFS($A:$A,A421,$B:$B,B421,$C:$C,C421)&gt;1,"DUPLICATE COLOUR + SIZE","OK"))))))</f>
        <v/>
      </c>
    </row>
    <row r="422">
      <c r="A422" s="9" t="n"/>
      <c r="B422" s="9" t="n"/>
      <c r="C422" s="9" t="n"/>
      <c r="D422" s="9" t="n"/>
      <c r="E422" s="11" t="n"/>
      <c r="F422" s="13" t="n"/>
      <c r="G422" s="11" t="n"/>
      <c r="H422" s="13" t="n"/>
      <c r="I422" s="14">
        <f>IF(A422="","",IF(F422&lt;&gt;"",F422,IFERROR(INDEX(Products!$C:$C,MATCH(A422,Products!$A:$A,0)),"")))</f>
        <v/>
      </c>
      <c r="J422" s="14">
        <f>IF(OR(I422="",H422=""),"",I422-H422)</f>
        <v/>
      </c>
      <c r="K422" s="12">
        <f>IF(A422="","",IF(ISNA(MATCH(A422,Products!$A:$A,0)),"NAME NOT IN PRODUCTS",IF(D422="","ADD STORE SKU",IF(LEFT(D422,2)&lt;&gt;"v-","CHECK: STORE SKU STARTS WITH v-",IF(COUNTIF($D:$D,D422)&gt;1,"DUPLICATE STORE SKU",IF(COUNTIFS($A:$A,A422,$B:$B,B422,$C:$C,C422)&gt;1,"DUPLICATE COLOUR + SIZE","OK"))))))</f>
        <v/>
      </c>
    </row>
    <row r="423">
      <c r="A423" s="9" t="n"/>
      <c r="B423" s="9" t="n"/>
      <c r="C423" s="9" t="n"/>
      <c r="D423" s="9" t="n"/>
      <c r="E423" s="11" t="n"/>
      <c r="F423" s="13" t="n"/>
      <c r="G423" s="11" t="n"/>
      <c r="H423" s="13" t="n"/>
      <c r="I423" s="14">
        <f>IF(A423="","",IF(F423&lt;&gt;"",F423,IFERROR(INDEX(Products!$C:$C,MATCH(A423,Products!$A:$A,0)),"")))</f>
        <v/>
      </c>
      <c r="J423" s="14">
        <f>IF(OR(I423="",H423=""),"",I423-H423)</f>
        <v/>
      </c>
      <c r="K423" s="12">
        <f>IF(A423="","",IF(ISNA(MATCH(A423,Products!$A:$A,0)),"NAME NOT IN PRODUCTS",IF(D423="","ADD STORE SKU",IF(LEFT(D423,2)&lt;&gt;"v-","CHECK: STORE SKU STARTS WITH v-",IF(COUNTIF($D:$D,D423)&gt;1,"DUPLICATE STORE SKU",IF(COUNTIFS($A:$A,A423,$B:$B,B423,$C:$C,C423)&gt;1,"DUPLICATE COLOUR + SIZE","OK"))))))</f>
        <v/>
      </c>
    </row>
    <row r="424">
      <c r="A424" s="9" t="n"/>
      <c r="B424" s="9" t="n"/>
      <c r="C424" s="9" t="n"/>
      <c r="D424" s="9" t="n"/>
      <c r="E424" s="11" t="n"/>
      <c r="F424" s="13" t="n"/>
      <c r="G424" s="11" t="n"/>
      <c r="H424" s="13" t="n"/>
      <c r="I424" s="14">
        <f>IF(A424="","",IF(F424&lt;&gt;"",F424,IFERROR(INDEX(Products!$C:$C,MATCH(A424,Products!$A:$A,0)),"")))</f>
        <v/>
      </c>
      <c r="J424" s="14">
        <f>IF(OR(I424="",H424=""),"",I424-H424)</f>
        <v/>
      </c>
      <c r="K424" s="12">
        <f>IF(A424="","",IF(ISNA(MATCH(A424,Products!$A:$A,0)),"NAME NOT IN PRODUCTS",IF(D424="","ADD STORE SKU",IF(LEFT(D424,2)&lt;&gt;"v-","CHECK: STORE SKU STARTS WITH v-",IF(COUNTIF($D:$D,D424)&gt;1,"DUPLICATE STORE SKU",IF(COUNTIFS($A:$A,A424,$B:$B,B424,$C:$C,C424)&gt;1,"DUPLICATE COLOUR + SIZE","OK"))))))</f>
        <v/>
      </c>
    </row>
    <row r="425">
      <c r="A425" s="9" t="n"/>
      <c r="B425" s="9" t="n"/>
      <c r="C425" s="9" t="n"/>
      <c r="D425" s="9" t="n"/>
      <c r="E425" s="11" t="n"/>
      <c r="F425" s="13" t="n"/>
      <c r="G425" s="11" t="n"/>
      <c r="H425" s="13" t="n"/>
      <c r="I425" s="14">
        <f>IF(A425="","",IF(F425&lt;&gt;"",F425,IFERROR(INDEX(Products!$C:$C,MATCH(A425,Products!$A:$A,0)),"")))</f>
        <v/>
      </c>
      <c r="J425" s="14">
        <f>IF(OR(I425="",H425=""),"",I425-H425)</f>
        <v/>
      </c>
      <c r="K425" s="12">
        <f>IF(A425="","",IF(ISNA(MATCH(A425,Products!$A:$A,0)),"NAME NOT IN PRODUCTS",IF(D425="","ADD STORE SKU",IF(LEFT(D425,2)&lt;&gt;"v-","CHECK: STORE SKU STARTS WITH v-",IF(COUNTIF($D:$D,D425)&gt;1,"DUPLICATE STORE SKU",IF(COUNTIFS($A:$A,A425,$B:$B,B425,$C:$C,C425)&gt;1,"DUPLICATE COLOUR + SIZE","OK"))))))</f>
        <v/>
      </c>
    </row>
    <row r="426">
      <c r="A426" s="9" t="n"/>
      <c r="B426" s="9" t="n"/>
      <c r="C426" s="9" t="n"/>
      <c r="D426" s="9" t="n"/>
      <c r="E426" s="11" t="n"/>
      <c r="F426" s="13" t="n"/>
      <c r="G426" s="11" t="n"/>
      <c r="H426" s="13" t="n"/>
      <c r="I426" s="14">
        <f>IF(A426="","",IF(F426&lt;&gt;"",F426,IFERROR(INDEX(Products!$C:$C,MATCH(A426,Products!$A:$A,0)),"")))</f>
        <v/>
      </c>
      <c r="J426" s="14">
        <f>IF(OR(I426="",H426=""),"",I426-H426)</f>
        <v/>
      </c>
      <c r="K426" s="12">
        <f>IF(A426="","",IF(ISNA(MATCH(A426,Products!$A:$A,0)),"NAME NOT IN PRODUCTS",IF(D426="","ADD STORE SKU",IF(LEFT(D426,2)&lt;&gt;"v-","CHECK: STORE SKU STARTS WITH v-",IF(COUNTIF($D:$D,D426)&gt;1,"DUPLICATE STORE SKU",IF(COUNTIFS($A:$A,A426,$B:$B,B426,$C:$C,C426)&gt;1,"DUPLICATE COLOUR + SIZE","OK"))))))</f>
        <v/>
      </c>
    </row>
    <row r="427">
      <c r="A427" s="9" t="n"/>
      <c r="B427" s="9" t="n"/>
      <c r="C427" s="9" t="n"/>
      <c r="D427" s="9" t="n"/>
      <c r="E427" s="11" t="n"/>
      <c r="F427" s="13" t="n"/>
      <c r="G427" s="11" t="n"/>
      <c r="H427" s="13" t="n"/>
      <c r="I427" s="14">
        <f>IF(A427="","",IF(F427&lt;&gt;"",F427,IFERROR(INDEX(Products!$C:$C,MATCH(A427,Products!$A:$A,0)),"")))</f>
        <v/>
      </c>
      <c r="J427" s="14">
        <f>IF(OR(I427="",H427=""),"",I427-H427)</f>
        <v/>
      </c>
      <c r="K427" s="12">
        <f>IF(A427="","",IF(ISNA(MATCH(A427,Products!$A:$A,0)),"NAME NOT IN PRODUCTS",IF(D427="","ADD STORE SKU",IF(LEFT(D427,2)&lt;&gt;"v-","CHECK: STORE SKU STARTS WITH v-",IF(COUNTIF($D:$D,D427)&gt;1,"DUPLICATE STORE SKU",IF(COUNTIFS($A:$A,A427,$B:$B,B427,$C:$C,C427)&gt;1,"DUPLICATE COLOUR + SIZE","OK"))))))</f>
        <v/>
      </c>
    </row>
    <row r="428">
      <c r="A428" s="9" t="n"/>
      <c r="B428" s="9" t="n"/>
      <c r="C428" s="9" t="n"/>
      <c r="D428" s="9" t="n"/>
      <c r="E428" s="11" t="n"/>
      <c r="F428" s="13" t="n"/>
      <c r="G428" s="11" t="n"/>
      <c r="H428" s="13" t="n"/>
      <c r="I428" s="14">
        <f>IF(A428="","",IF(F428&lt;&gt;"",F428,IFERROR(INDEX(Products!$C:$C,MATCH(A428,Products!$A:$A,0)),"")))</f>
        <v/>
      </c>
      <c r="J428" s="14">
        <f>IF(OR(I428="",H428=""),"",I428-H428)</f>
        <v/>
      </c>
      <c r="K428" s="12">
        <f>IF(A428="","",IF(ISNA(MATCH(A428,Products!$A:$A,0)),"NAME NOT IN PRODUCTS",IF(D428="","ADD STORE SKU",IF(LEFT(D428,2)&lt;&gt;"v-","CHECK: STORE SKU STARTS WITH v-",IF(COUNTIF($D:$D,D428)&gt;1,"DUPLICATE STORE SKU",IF(COUNTIFS($A:$A,A428,$B:$B,B428,$C:$C,C428)&gt;1,"DUPLICATE COLOUR + SIZE","OK"))))))</f>
        <v/>
      </c>
    </row>
    <row r="429">
      <c r="A429" s="9" t="n"/>
      <c r="B429" s="9" t="n"/>
      <c r="C429" s="9" t="n"/>
      <c r="D429" s="9" t="n"/>
      <c r="E429" s="11" t="n"/>
      <c r="F429" s="13" t="n"/>
      <c r="G429" s="11" t="n"/>
      <c r="H429" s="13" t="n"/>
      <c r="I429" s="14">
        <f>IF(A429="","",IF(F429&lt;&gt;"",F429,IFERROR(INDEX(Products!$C:$C,MATCH(A429,Products!$A:$A,0)),"")))</f>
        <v/>
      </c>
      <c r="J429" s="14">
        <f>IF(OR(I429="",H429=""),"",I429-H429)</f>
        <v/>
      </c>
      <c r="K429" s="12">
        <f>IF(A429="","",IF(ISNA(MATCH(A429,Products!$A:$A,0)),"NAME NOT IN PRODUCTS",IF(D429="","ADD STORE SKU",IF(LEFT(D429,2)&lt;&gt;"v-","CHECK: STORE SKU STARTS WITH v-",IF(COUNTIF($D:$D,D429)&gt;1,"DUPLICATE STORE SKU",IF(COUNTIFS($A:$A,A429,$B:$B,B429,$C:$C,C429)&gt;1,"DUPLICATE COLOUR + SIZE","OK"))))))</f>
        <v/>
      </c>
    </row>
    <row r="430">
      <c r="A430" s="9" t="n"/>
      <c r="B430" s="9" t="n"/>
      <c r="C430" s="9" t="n"/>
      <c r="D430" s="9" t="n"/>
      <c r="E430" s="11" t="n"/>
      <c r="F430" s="13" t="n"/>
      <c r="G430" s="11" t="n"/>
      <c r="H430" s="13" t="n"/>
      <c r="I430" s="14">
        <f>IF(A430="","",IF(F430&lt;&gt;"",F430,IFERROR(INDEX(Products!$C:$C,MATCH(A430,Products!$A:$A,0)),"")))</f>
        <v/>
      </c>
      <c r="J430" s="14">
        <f>IF(OR(I430="",H430=""),"",I430-H430)</f>
        <v/>
      </c>
      <c r="K430" s="12">
        <f>IF(A430="","",IF(ISNA(MATCH(A430,Products!$A:$A,0)),"NAME NOT IN PRODUCTS",IF(D430="","ADD STORE SKU",IF(LEFT(D430,2)&lt;&gt;"v-","CHECK: STORE SKU STARTS WITH v-",IF(COUNTIF($D:$D,D430)&gt;1,"DUPLICATE STORE SKU",IF(COUNTIFS($A:$A,A430,$B:$B,B430,$C:$C,C430)&gt;1,"DUPLICATE COLOUR + SIZE","OK"))))))</f>
        <v/>
      </c>
    </row>
    <row r="431">
      <c r="A431" s="9" t="n"/>
      <c r="B431" s="9" t="n"/>
      <c r="C431" s="9" t="n"/>
      <c r="D431" s="9" t="n"/>
      <c r="E431" s="11" t="n"/>
      <c r="F431" s="13" t="n"/>
      <c r="G431" s="11" t="n"/>
      <c r="H431" s="13" t="n"/>
      <c r="I431" s="14">
        <f>IF(A431="","",IF(F431&lt;&gt;"",F431,IFERROR(INDEX(Products!$C:$C,MATCH(A431,Products!$A:$A,0)),"")))</f>
        <v/>
      </c>
      <c r="J431" s="14">
        <f>IF(OR(I431="",H431=""),"",I431-H431)</f>
        <v/>
      </c>
      <c r="K431" s="12">
        <f>IF(A431="","",IF(ISNA(MATCH(A431,Products!$A:$A,0)),"NAME NOT IN PRODUCTS",IF(D431="","ADD STORE SKU",IF(LEFT(D431,2)&lt;&gt;"v-","CHECK: STORE SKU STARTS WITH v-",IF(COUNTIF($D:$D,D431)&gt;1,"DUPLICATE STORE SKU",IF(COUNTIFS($A:$A,A431,$B:$B,B431,$C:$C,C431)&gt;1,"DUPLICATE COLOUR + SIZE","OK"))))))</f>
        <v/>
      </c>
    </row>
    <row r="432">
      <c r="A432" s="9" t="n"/>
      <c r="B432" s="9" t="n"/>
      <c r="C432" s="9" t="n"/>
      <c r="D432" s="9" t="n"/>
      <c r="E432" s="11" t="n"/>
      <c r="F432" s="13" t="n"/>
      <c r="G432" s="11" t="n"/>
      <c r="H432" s="13" t="n"/>
      <c r="I432" s="14">
        <f>IF(A432="","",IF(F432&lt;&gt;"",F432,IFERROR(INDEX(Products!$C:$C,MATCH(A432,Products!$A:$A,0)),"")))</f>
        <v/>
      </c>
      <c r="J432" s="14">
        <f>IF(OR(I432="",H432=""),"",I432-H432)</f>
        <v/>
      </c>
      <c r="K432" s="12">
        <f>IF(A432="","",IF(ISNA(MATCH(A432,Products!$A:$A,0)),"NAME NOT IN PRODUCTS",IF(D432="","ADD STORE SKU",IF(LEFT(D432,2)&lt;&gt;"v-","CHECK: STORE SKU STARTS WITH v-",IF(COUNTIF($D:$D,D432)&gt;1,"DUPLICATE STORE SKU",IF(COUNTIFS($A:$A,A432,$B:$B,B432,$C:$C,C432)&gt;1,"DUPLICATE COLOUR + SIZE","OK"))))))</f>
        <v/>
      </c>
    </row>
    <row r="433">
      <c r="A433" s="9" t="n"/>
      <c r="B433" s="9" t="n"/>
      <c r="C433" s="9" t="n"/>
      <c r="D433" s="9" t="n"/>
      <c r="E433" s="11" t="n"/>
      <c r="F433" s="13" t="n"/>
      <c r="G433" s="11" t="n"/>
      <c r="H433" s="13" t="n"/>
      <c r="I433" s="14">
        <f>IF(A433="","",IF(F433&lt;&gt;"",F433,IFERROR(INDEX(Products!$C:$C,MATCH(A433,Products!$A:$A,0)),"")))</f>
        <v/>
      </c>
      <c r="J433" s="14">
        <f>IF(OR(I433="",H433=""),"",I433-H433)</f>
        <v/>
      </c>
      <c r="K433" s="12">
        <f>IF(A433="","",IF(ISNA(MATCH(A433,Products!$A:$A,0)),"NAME NOT IN PRODUCTS",IF(D433="","ADD STORE SKU",IF(LEFT(D433,2)&lt;&gt;"v-","CHECK: STORE SKU STARTS WITH v-",IF(COUNTIF($D:$D,D433)&gt;1,"DUPLICATE STORE SKU",IF(COUNTIFS($A:$A,A433,$B:$B,B433,$C:$C,C433)&gt;1,"DUPLICATE COLOUR + SIZE","OK"))))))</f>
        <v/>
      </c>
    </row>
    <row r="434">
      <c r="A434" s="9" t="n"/>
      <c r="B434" s="9" t="n"/>
      <c r="C434" s="9" t="n"/>
      <c r="D434" s="9" t="n"/>
      <c r="E434" s="11" t="n"/>
      <c r="F434" s="13" t="n"/>
      <c r="G434" s="11" t="n"/>
      <c r="H434" s="13" t="n"/>
      <c r="I434" s="14">
        <f>IF(A434="","",IF(F434&lt;&gt;"",F434,IFERROR(INDEX(Products!$C:$C,MATCH(A434,Products!$A:$A,0)),"")))</f>
        <v/>
      </c>
      <c r="J434" s="14">
        <f>IF(OR(I434="",H434=""),"",I434-H434)</f>
        <v/>
      </c>
      <c r="K434" s="12">
        <f>IF(A434="","",IF(ISNA(MATCH(A434,Products!$A:$A,0)),"NAME NOT IN PRODUCTS",IF(D434="","ADD STORE SKU",IF(LEFT(D434,2)&lt;&gt;"v-","CHECK: STORE SKU STARTS WITH v-",IF(COUNTIF($D:$D,D434)&gt;1,"DUPLICATE STORE SKU",IF(COUNTIFS($A:$A,A434,$B:$B,B434,$C:$C,C434)&gt;1,"DUPLICATE COLOUR + SIZE","OK"))))))</f>
        <v/>
      </c>
    </row>
    <row r="435">
      <c r="A435" s="9" t="n"/>
      <c r="B435" s="9" t="n"/>
      <c r="C435" s="9" t="n"/>
      <c r="D435" s="9" t="n"/>
      <c r="E435" s="11" t="n"/>
      <c r="F435" s="13" t="n"/>
      <c r="G435" s="11" t="n"/>
      <c r="H435" s="13" t="n"/>
      <c r="I435" s="14">
        <f>IF(A435="","",IF(F435&lt;&gt;"",F435,IFERROR(INDEX(Products!$C:$C,MATCH(A435,Products!$A:$A,0)),"")))</f>
        <v/>
      </c>
      <c r="J435" s="14">
        <f>IF(OR(I435="",H435=""),"",I435-H435)</f>
        <v/>
      </c>
      <c r="K435" s="12">
        <f>IF(A435="","",IF(ISNA(MATCH(A435,Products!$A:$A,0)),"NAME NOT IN PRODUCTS",IF(D435="","ADD STORE SKU",IF(LEFT(D435,2)&lt;&gt;"v-","CHECK: STORE SKU STARTS WITH v-",IF(COUNTIF($D:$D,D435)&gt;1,"DUPLICATE STORE SKU",IF(COUNTIFS($A:$A,A435,$B:$B,B435,$C:$C,C435)&gt;1,"DUPLICATE COLOUR + SIZE","OK"))))))</f>
        <v/>
      </c>
    </row>
    <row r="436">
      <c r="A436" s="9" t="n"/>
      <c r="B436" s="9" t="n"/>
      <c r="C436" s="9" t="n"/>
      <c r="D436" s="9" t="n"/>
      <c r="E436" s="11" t="n"/>
      <c r="F436" s="13" t="n"/>
      <c r="G436" s="11" t="n"/>
      <c r="H436" s="13" t="n"/>
      <c r="I436" s="14">
        <f>IF(A436="","",IF(F436&lt;&gt;"",F436,IFERROR(INDEX(Products!$C:$C,MATCH(A436,Products!$A:$A,0)),"")))</f>
        <v/>
      </c>
      <c r="J436" s="14">
        <f>IF(OR(I436="",H436=""),"",I436-H436)</f>
        <v/>
      </c>
      <c r="K436" s="12">
        <f>IF(A436="","",IF(ISNA(MATCH(A436,Products!$A:$A,0)),"NAME NOT IN PRODUCTS",IF(D436="","ADD STORE SKU",IF(LEFT(D436,2)&lt;&gt;"v-","CHECK: STORE SKU STARTS WITH v-",IF(COUNTIF($D:$D,D436)&gt;1,"DUPLICATE STORE SKU",IF(COUNTIFS($A:$A,A436,$B:$B,B436,$C:$C,C436)&gt;1,"DUPLICATE COLOUR + SIZE","OK"))))))</f>
        <v/>
      </c>
    </row>
    <row r="437">
      <c r="A437" s="9" t="n"/>
      <c r="B437" s="9" t="n"/>
      <c r="C437" s="9" t="n"/>
      <c r="D437" s="9" t="n"/>
      <c r="E437" s="11" t="n"/>
      <c r="F437" s="13" t="n"/>
      <c r="G437" s="11" t="n"/>
      <c r="H437" s="13" t="n"/>
      <c r="I437" s="14">
        <f>IF(A437="","",IF(F437&lt;&gt;"",F437,IFERROR(INDEX(Products!$C:$C,MATCH(A437,Products!$A:$A,0)),"")))</f>
        <v/>
      </c>
      <c r="J437" s="14">
        <f>IF(OR(I437="",H437=""),"",I437-H437)</f>
        <v/>
      </c>
      <c r="K437" s="12">
        <f>IF(A437="","",IF(ISNA(MATCH(A437,Products!$A:$A,0)),"NAME NOT IN PRODUCTS",IF(D437="","ADD STORE SKU",IF(LEFT(D437,2)&lt;&gt;"v-","CHECK: STORE SKU STARTS WITH v-",IF(COUNTIF($D:$D,D437)&gt;1,"DUPLICATE STORE SKU",IF(COUNTIFS($A:$A,A437,$B:$B,B437,$C:$C,C437)&gt;1,"DUPLICATE COLOUR + SIZE","OK"))))))</f>
        <v/>
      </c>
    </row>
    <row r="438">
      <c r="A438" s="9" t="n"/>
      <c r="B438" s="9" t="n"/>
      <c r="C438" s="9" t="n"/>
      <c r="D438" s="9" t="n"/>
      <c r="E438" s="11" t="n"/>
      <c r="F438" s="13" t="n"/>
      <c r="G438" s="11" t="n"/>
      <c r="H438" s="13" t="n"/>
      <c r="I438" s="14">
        <f>IF(A438="","",IF(F438&lt;&gt;"",F438,IFERROR(INDEX(Products!$C:$C,MATCH(A438,Products!$A:$A,0)),"")))</f>
        <v/>
      </c>
      <c r="J438" s="14">
        <f>IF(OR(I438="",H438=""),"",I438-H438)</f>
        <v/>
      </c>
      <c r="K438" s="12">
        <f>IF(A438="","",IF(ISNA(MATCH(A438,Products!$A:$A,0)),"NAME NOT IN PRODUCTS",IF(D438="","ADD STORE SKU",IF(LEFT(D438,2)&lt;&gt;"v-","CHECK: STORE SKU STARTS WITH v-",IF(COUNTIF($D:$D,D438)&gt;1,"DUPLICATE STORE SKU",IF(COUNTIFS($A:$A,A438,$B:$B,B438,$C:$C,C438)&gt;1,"DUPLICATE COLOUR + SIZE","OK"))))))</f>
        <v/>
      </c>
    </row>
    <row r="439">
      <c r="A439" s="9" t="n"/>
      <c r="B439" s="9" t="n"/>
      <c r="C439" s="9" t="n"/>
      <c r="D439" s="9" t="n"/>
      <c r="E439" s="11" t="n"/>
      <c r="F439" s="13" t="n"/>
      <c r="G439" s="11" t="n"/>
      <c r="H439" s="13" t="n"/>
      <c r="I439" s="14">
        <f>IF(A439="","",IF(F439&lt;&gt;"",F439,IFERROR(INDEX(Products!$C:$C,MATCH(A439,Products!$A:$A,0)),"")))</f>
        <v/>
      </c>
      <c r="J439" s="14">
        <f>IF(OR(I439="",H439=""),"",I439-H439)</f>
        <v/>
      </c>
      <c r="K439" s="12">
        <f>IF(A439="","",IF(ISNA(MATCH(A439,Products!$A:$A,0)),"NAME NOT IN PRODUCTS",IF(D439="","ADD STORE SKU",IF(LEFT(D439,2)&lt;&gt;"v-","CHECK: STORE SKU STARTS WITH v-",IF(COUNTIF($D:$D,D439)&gt;1,"DUPLICATE STORE SKU",IF(COUNTIFS($A:$A,A439,$B:$B,B439,$C:$C,C439)&gt;1,"DUPLICATE COLOUR + SIZE","OK"))))))</f>
        <v/>
      </c>
    </row>
    <row r="440">
      <c r="A440" s="9" t="n"/>
      <c r="B440" s="9" t="n"/>
      <c r="C440" s="9" t="n"/>
      <c r="D440" s="9" t="n"/>
      <c r="E440" s="11" t="n"/>
      <c r="F440" s="13" t="n"/>
      <c r="G440" s="11" t="n"/>
      <c r="H440" s="13" t="n"/>
      <c r="I440" s="14">
        <f>IF(A440="","",IF(F440&lt;&gt;"",F440,IFERROR(INDEX(Products!$C:$C,MATCH(A440,Products!$A:$A,0)),"")))</f>
        <v/>
      </c>
      <c r="J440" s="14">
        <f>IF(OR(I440="",H440=""),"",I440-H440)</f>
        <v/>
      </c>
      <c r="K440" s="12">
        <f>IF(A440="","",IF(ISNA(MATCH(A440,Products!$A:$A,0)),"NAME NOT IN PRODUCTS",IF(D440="","ADD STORE SKU",IF(LEFT(D440,2)&lt;&gt;"v-","CHECK: STORE SKU STARTS WITH v-",IF(COUNTIF($D:$D,D440)&gt;1,"DUPLICATE STORE SKU",IF(COUNTIFS($A:$A,A440,$B:$B,B440,$C:$C,C440)&gt;1,"DUPLICATE COLOUR + SIZE","OK"))))))</f>
        <v/>
      </c>
    </row>
    <row r="441">
      <c r="A441" s="9" t="n"/>
      <c r="B441" s="9" t="n"/>
      <c r="C441" s="9" t="n"/>
      <c r="D441" s="9" t="n"/>
      <c r="E441" s="11" t="n"/>
      <c r="F441" s="13" t="n"/>
      <c r="G441" s="11" t="n"/>
      <c r="H441" s="13" t="n"/>
      <c r="I441" s="14">
        <f>IF(A441="","",IF(F441&lt;&gt;"",F441,IFERROR(INDEX(Products!$C:$C,MATCH(A441,Products!$A:$A,0)),"")))</f>
        <v/>
      </c>
      <c r="J441" s="14">
        <f>IF(OR(I441="",H441=""),"",I441-H441)</f>
        <v/>
      </c>
      <c r="K441" s="12">
        <f>IF(A441="","",IF(ISNA(MATCH(A441,Products!$A:$A,0)),"NAME NOT IN PRODUCTS",IF(D441="","ADD STORE SKU",IF(LEFT(D441,2)&lt;&gt;"v-","CHECK: STORE SKU STARTS WITH v-",IF(COUNTIF($D:$D,D441)&gt;1,"DUPLICATE STORE SKU",IF(COUNTIFS($A:$A,A441,$B:$B,B441,$C:$C,C441)&gt;1,"DUPLICATE COLOUR + SIZE","OK"))))))</f>
        <v/>
      </c>
    </row>
    <row r="442">
      <c r="A442" s="9" t="n"/>
      <c r="B442" s="9" t="n"/>
      <c r="C442" s="9" t="n"/>
      <c r="D442" s="9" t="n"/>
      <c r="E442" s="11" t="n"/>
      <c r="F442" s="13" t="n"/>
      <c r="G442" s="11" t="n"/>
      <c r="H442" s="13" t="n"/>
      <c r="I442" s="14">
        <f>IF(A442="","",IF(F442&lt;&gt;"",F442,IFERROR(INDEX(Products!$C:$C,MATCH(A442,Products!$A:$A,0)),"")))</f>
        <v/>
      </c>
      <c r="J442" s="14">
        <f>IF(OR(I442="",H442=""),"",I442-H442)</f>
        <v/>
      </c>
      <c r="K442" s="12">
        <f>IF(A442="","",IF(ISNA(MATCH(A442,Products!$A:$A,0)),"NAME NOT IN PRODUCTS",IF(D442="","ADD STORE SKU",IF(LEFT(D442,2)&lt;&gt;"v-","CHECK: STORE SKU STARTS WITH v-",IF(COUNTIF($D:$D,D442)&gt;1,"DUPLICATE STORE SKU",IF(COUNTIFS($A:$A,A442,$B:$B,B442,$C:$C,C442)&gt;1,"DUPLICATE COLOUR + SIZE","OK"))))))</f>
        <v/>
      </c>
    </row>
    <row r="443">
      <c r="A443" s="9" t="n"/>
      <c r="B443" s="9" t="n"/>
      <c r="C443" s="9" t="n"/>
      <c r="D443" s="9" t="n"/>
      <c r="E443" s="11" t="n"/>
      <c r="F443" s="13" t="n"/>
      <c r="G443" s="11" t="n"/>
      <c r="H443" s="13" t="n"/>
      <c r="I443" s="14">
        <f>IF(A443="","",IF(F443&lt;&gt;"",F443,IFERROR(INDEX(Products!$C:$C,MATCH(A443,Products!$A:$A,0)),"")))</f>
        <v/>
      </c>
      <c r="J443" s="14">
        <f>IF(OR(I443="",H443=""),"",I443-H443)</f>
        <v/>
      </c>
      <c r="K443" s="12">
        <f>IF(A443="","",IF(ISNA(MATCH(A443,Products!$A:$A,0)),"NAME NOT IN PRODUCTS",IF(D443="","ADD STORE SKU",IF(LEFT(D443,2)&lt;&gt;"v-","CHECK: STORE SKU STARTS WITH v-",IF(COUNTIF($D:$D,D443)&gt;1,"DUPLICATE STORE SKU",IF(COUNTIFS($A:$A,A443,$B:$B,B443,$C:$C,C443)&gt;1,"DUPLICATE COLOUR + SIZE","OK"))))))</f>
        <v/>
      </c>
    </row>
    <row r="444">
      <c r="A444" s="9" t="n"/>
      <c r="B444" s="9" t="n"/>
      <c r="C444" s="9" t="n"/>
      <c r="D444" s="9" t="n"/>
      <c r="E444" s="11" t="n"/>
      <c r="F444" s="13" t="n"/>
      <c r="G444" s="11" t="n"/>
      <c r="H444" s="13" t="n"/>
      <c r="I444" s="14">
        <f>IF(A444="","",IF(F444&lt;&gt;"",F444,IFERROR(INDEX(Products!$C:$C,MATCH(A444,Products!$A:$A,0)),"")))</f>
        <v/>
      </c>
      <c r="J444" s="14">
        <f>IF(OR(I444="",H444=""),"",I444-H444)</f>
        <v/>
      </c>
      <c r="K444" s="12">
        <f>IF(A444="","",IF(ISNA(MATCH(A444,Products!$A:$A,0)),"NAME NOT IN PRODUCTS",IF(D444="","ADD STORE SKU",IF(LEFT(D444,2)&lt;&gt;"v-","CHECK: STORE SKU STARTS WITH v-",IF(COUNTIF($D:$D,D444)&gt;1,"DUPLICATE STORE SKU",IF(COUNTIFS($A:$A,A444,$B:$B,B444,$C:$C,C444)&gt;1,"DUPLICATE COLOUR + SIZE","OK"))))))</f>
        <v/>
      </c>
    </row>
    <row r="445">
      <c r="A445" s="9" t="n"/>
      <c r="B445" s="9" t="n"/>
      <c r="C445" s="9" t="n"/>
      <c r="D445" s="9" t="n"/>
      <c r="E445" s="11" t="n"/>
      <c r="F445" s="13" t="n"/>
      <c r="G445" s="11" t="n"/>
      <c r="H445" s="13" t="n"/>
      <c r="I445" s="14">
        <f>IF(A445="","",IF(F445&lt;&gt;"",F445,IFERROR(INDEX(Products!$C:$C,MATCH(A445,Products!$A:$A,0)),"")))</f>
        <v/>
      </c>
      <c r="J445" s="14">
        <f>IF(OR(I445="",H445=""),"",I445-H445)</f>
        <v/>
      </c>
      <c r="K445" s="12">
        <f>IF(A445="","",IF(ISNA(MATCH(A445,Products!$A:$A,0)),"NAME NOT IN PRODUCTS",IF(D445="","ADD STORE SKU",IF(LEFT(D445,2)&lt;&gt;"v-","CHECK: STORE SKU STARTS WITH v-",IF(COUNTIF($D:$D,D445)&gt;1,"DUPLICATE STORE SKU",IF(COUNTIFS($A:$A,A445,$B:$B,B445,$C:$C,C445)&gt;1,"DUPLICATE COLOUR + SIZE","OK"))))))</f>
        <v/>
      </c>
    </row>
    <row r="446">
      <c r="A446" s="9" t="n"/>
      <c r="B446" s="9" t="n"/>
      <c r="C446" s="9" t="n"/>
      <c r="D446" s="9" t="n"/>
      <c r="E446" s="11" t="n"/>
      <c r="F446" s="13" t="n"/>
      <c r="G446" s="11" t="n"/>
      <c r="H446" s="13" t="n"/>
      <c r="I446" s="14">
        <f>IF(A446="","",IF(F446&lt;&gt;"",F446,IFERROR(INDEX(Products!$C:$C,MATCH(A446,Products!$A:$A,0)),"")))</f>
        <v/>
      </c>
      <c r="J446" s="14">
        <f>IF(OR(I446="",H446=""),"",I446-H446)</f>
        <v/>
      </c>
      <c r="K446" s="12">
        <f>IF(A446="","",IF(ISNA(MATCH(A446,Products!$A:$A,0)),"NAME NOT IN PRODUCTS",IF(D446="","ADD STORE SKU",IF(LEFT(D446,2)&lt;&gt;"v-","CHECK: STORE SKU STARTS WITH v-",IF(COUNTIF($D:$D,D446)&gt;1,"DUPLICATE STORE SKU",IF(COUNTIFS($A:$A,A446,$B:$B,B446,$C:$C,C446)&gt;1,"DUPLICATE COLOUR + SIZE","OK"))))))</f>
        <v/>
      </c>
    </row>
    <row r="447">
      <c r="A447" s="9" t="n"/>
      <c r="B447" s="9" t="n"/>
      <c r="C447" s="9" t="n"/>
      <c r="D447" s="9" t="n"/>
      <c r="E447" s="11" t="n"/>
      <c r="F447" s="13" t="n"/>
      <c r="G447" s="11" t="n"/>
      <c r="H447" s="13" t="n"/>
      <c r="I447" s="14">
        <f>IF(A447="","",IF(F447&lt;&gt;"",F447,IFERROR(INDEX(Products!$C:$C,MATCH(A447,Products!$A:$A,0)),"")))</f>
        <v/>
      </c>
      <c r="J447" s="14">
        <f>IF(OR(I447="",H447=""),"",I447-H447)</f>
        <v/>
      </c>
      <c r="K447" s="12">
        <f>IF(A447="","",IF(ISNA(MATCH(A447,Products!$A:$A,0)),"NAME NOT IN PRODUCTS",IF(D447="","ADD STORE SKU",IF(LEFT(D447,2)&lt;&gt;"v-","CHECK: STORE SKU STARTS WITH v-",IF(COUNTIF($D:$D,D447)&gt;1,"DUPLICATE STORE SKU",IF(COUNTIFS($A:$A,A447,$B:$B,B447,$C:$C,C447)&gt;1,"DUPLICATE COLOUR + SIZE","OK"))))))</f>
        <v/>
      </c>
    </row>
    <row r="448">
      <c r="A448" s="9" t="n"/>
      <c r="B448" s="9" t="n"/>
      <c r="C448" s="9" t="n"/>
      <c r="D448" s="9" t="n"/>
      <c r="E448" s="11" t="n"/>
      <c r="F448" s="13" t="n"/>
      <c r="G448" s="11" t="n"/>
      <c r="H448" s="13" t="n"/>
      <c r="I448" s="14">
        <f>IF(A448="","",IF(F448&lt;&gt;"",F448,IFERROR(INDEX(Products!$C:$C,MATCH(A448,Products!$A:$A,0)),"")))</f>
        <v/>
      </c>
      <c r="J448" s="14">
        <f>IF(OR(I448="",H448=""),"",I448-H448)</f>
        <v/>
      </c>
      <c r="K448" s="12">
        <f>IF(A448="","",IF(ISNA(MATCH(A448,Products!$A:$A,0)),"NAME NOT IN PRODUCTS",IF(D448="","ADD STORE SKU",IF(LEFT(D448,2)&lt;&gt;"v-","CHECK: STORE SKU STARTS WITH v-",IF(COUNTIF($D:$D,D448)&gt;1,"DUPLICATE STORE SKU",IF(COUNTIFS($A:$A,A448,$B:$B,B448,$C:$C,C448)&gt;1,"DUPLICATE COLOUR + SIZE","OK"))))))</f>
        <v/>
      </c>
    </row>
    <row r="449">
      <c r="A449" s="9" t="n"/>
      <c r="B449" s="9" t="n"/>
      <c r="C449" s="9" t="n"/>
      <c r="D449" s="9" t="n"/>
      <c r="E449" s="11" t="n"/>
      <c r="F449" s="13" t="n"/>
      <c r="G449" s="11" t="n"/>
      <c r="H449" s="13" t="n"/>
      <c r="I449" s="14">
        <f>IF(A449="","",IF(F449&lt;&gt;"",F449,IFERROR(INDEX(Products!$C:$C,MATCH(A449,Products!$A:$A,0)),"")))</f>
        <v/>
      </c>
      <c r="J449" s="14">
        <f>IF(OR(I449="",H449=""),"",I449-H449)</f>
        <v/>
      </c>
      <c r="K449" s="12">
        <f>IF(A449="","",IF(ISNA(MATCH(A449,Products!$A:$A,0)),"NAME NOT IN PRODUCTS",IF(D449="","ADD STORE SKU",IF(LEFT(D449,2)&lt;&gt;"v-","CHECK: STORE SKU STARTS WITH v-",IF(COUNTIF($D:$D,D449)&gt;1,"DUPLICATE STORE SKU",IF(COUNTIFS($A:$A,A449,$B:$B,B449,$C:$C,C449)&gt;1,"DUPLICATE COLOUR + SIZE","OK"))))))</f>
        <v/>
      </c>
    </row>
    <row r="450">
      <c r="A450" s="9" t="n"/>
      <c r="B450" s="9" t="n"/>
      <c r="C450" s="9" t="n"/>
      <c r="D450" s="9" t="n"/>
      <c r="E450" s="11" t="n"/>
      <c r="F450" s="13" t="n"/>
      <c r="G450" s="11" t="n"/>
      <c r="H450" s="13" t="n"/>
      <c r="I450" s="14">
        <f>IF(A450="","",IF(F450&lt;&gt;"",F450,IFERROR(INDEX(Products!$C:$C,MATCH(A450,Products!$A:$A,0)),"")))</f>
        <v/>
      </c>
      <c r="J450" s="14">
        <f>IF(OR(I450="",H450=""),"",I450-H450)</f>
        <v/>
      </c>
      <c r="K450" s="12">
        <f>IF(A450="","",IF(ISNA(MATCH(A450,Products!$A:$A,0)),"NAME NOT IN PRODUCTS",IF(D450="","ADD STORE SKU",IF(LEFT(D450,2)&lt;&gt;"v-","CHECK: STORE SKU STARTS WITH v-",IF(COUNTIF($D:$D,D450)&gt;1,"DUPLICATE STORE SKU",IF(COUNTIFS($A:$A,A450,$B:$B,B450,$C:$C,C450)&gt;1,"DUPLICATE COLOUR + SIZE","OK"))))))</f>
        <v/>
      </c>
    </row>
    <row r="451">
      <c r="A451" s="9" t="n"/>
      <c r="B451" s="9" t="n"/>
      <c r="C451" s="9" t="n"/>
      <c r="D451" s="9" t="n"/>
      <c r="E451" s="11" t="n"/>
      <c r="F451" s="13" t="n"/>
      <c r="G451" s="11" t="n"/>
      <c r="H451" s="13" t="n"/>
      <c r="I451" s="14">
        <f>IF(A451="","",IF(F451&lt;&gt;"",F451,IFERROR(INDEX(Products!$C:$C,MATCH(A451,Products!$A:$A,0)),"")))</f>
        <v/>
      </c>
      <c r="J451" s="14">
        <f>IF(OR(I451="",H451=""),"",I451-H451)</f>
        <v/>
      </c>
      <c r="K451" s="12">
        <f>IF(A451="","",IF(ISNA(MATCH(A451,Products!$A:$A,0)),"NAME NOT IN PRODUCTS",IF(D451="","ADD STORE SKU",IF(LEFT(D451,2)&lt;&gt;"v-","CHECK: STORE SKU STARTS WITH v-",IF(COUNTIF($D:$D,D451)&gt;1,"DUPLICATE STORE SKU",IF(COUNTIFS($A:$A,A451,$B:$B,B451,$C:$C,C451)&gt;1,"DUPLICATE COLOUR + SIZE","OK"))))))</f>
        <v/>
      </c>
    </row>
    <row r="452">
      <c r="A452" s="9" t="n"/>
      <c r="B452" s="9" t="n"/>
      <c r="C452" s="9" t="n"/>
      <c r="D452" s="9" t="n"/>
      <c r="E452" s="11" t="n"/>
      <c r="F452" s="13" t="n"/>
      <c r="G452" s="11" t="n"/>
      <c r="H452" s="13" t="n"/>
      <c r="I452" s="14">
        <f>IF(A452="","",IF(F452&lt;&gt;"",F452,IFERROR(INDEX(Products!$C:$C,MATCH(A452,Products!$A:$A,0)),"")))</f>
        <v/>
      </c>
      <c r="J452" s="14">
        <f>IF(OR(I452="",H452=""),"",I452-H452)</f>
        <v/>
      </c>
      <c r="K452" s="12">
        <f>IF(A452="","",IF(ISNA(MATCH(A452,Products!$A:$A,0)),"NAME NOT IN PRODUCTS",IF(D452="","ADD STORE SKU",IF(LEFT(D452,2)&lt;&gt;"v-","CHECK: STORE SKU STARTS WITH v-",IF(COUNTIF($D:$D,D452)&gt;1,"DUPLICATE STORE SKU",IF(COUNTIFS($A:$A,A452,$B:$B,B452,$C:$C,C452)&gt;1,"DUPLICATE COLOUR + SIZE","OK"))))))</f>
        <v/>
      </c>
    </row>
    <row r="453">
      <c r="A453" s="9" t="n"/>
      <c r="B453" s="9" t="n"/>
      <c r="C453" s="9" t="n"/>
      <c r="D453" s="9" t="n"/>
      <c r="E453" s="11" t="n"/>
      <c r="F453" s="13" t="n"/>
      <c r="G453" s="11" t="n"/>
      <c r="H453" s="13" t="n"/>
      <c r="I453" s="14">
        <f>IF(A453="","",IF(F453&lt;&gt;"",F453,IFERROR(INDEX(Products!$C:$C,MATCH(A453,Products!$A:$A,0)),"")))</f>
        <v/>
      </c>
      <c r="J453" s="14">
        <f>IF(OR(I453="",H453=""),"",I453-H453)</f>
        <v/>
      </c>
      <c r="K453" s="12">
        <f>IF(A453="","",IF(ISNA(MATCH(A453,Products!$A:$A,0)),"NAME NOT IN PRODUCTS",IF(D453="","ADD STORE SKU",IF(LEFT(D453,2)&lt;&gt;"v-","CHECK: STORE SKU STARTS WITH v-",IF(COUNTIF($D:$D,D453)&gt;1,"DUPLICATE STORE SKU",IF(COUNTIFS($A:$A,A453,$B:$B,B453,$C:$C,C453)&gt;1,"DUPLICATE COLOUR + SIZE","OK"))))))</f>
        <v/>
      </c>
    </row>
    <row r="454">
      <c r="A454" s="9" t="n"/>
      <c r="B454" s="9" t="n"/>
      <c r="C454" s="9" t="n"/>
      <c r="D454" s="9" t="n"/>
      <c r="E454" s="11" t="n"/>
      <c r="F454" s="13" t="n"/>
      <c r="G454" s="11" t="n"/>
      <c r="H454" s="13" t="n"/>
      <c r="I454" s="14">
        <f>IF(A454="","",IF(F454&lt;&gt;"",F454,IFERROR(INDEX(Products!$C:$C,MATCH(A454,Products!$A:$A,0)),"")))</f>
        <v/>
      </c>
      <c r="J454" s="14">
        <f>IF(OR(I454="",H454=""),"",I454-H454)</f>
        <v/>
      </c>
      <c r="K454" s="12">
        <f>IF(A454="","",IF(ISNA(MATCH(A454,Products!$A:$A,0)),"NAME NOT IN PRODUCTS",IF(D454="","ADD STORE SKU",IF(LEFT(D454,2)&lt;&gt;"v-","CHECK: STORE SKU STARTS WITH v-",IF(COUNTIF($D:$D,D454)&gt;1,"DUPLICATE STORE SKU",IF(COUNTIFS($A:$A,A454,$B:$B,B454,$C:$C,C454)&gt;1,"DUPLICATE COLOUR + SIZE","OK"))))))</f>
        <v/>
      </c>
    </row>
    <row r="455">
      <c r="A455" s="9" t="n"/>
      <c r="B455" s="9" t="n"/>
      <c r="C455" s="9" t="n"/>
      <c r="D455" s="9" t="n"/>
      <c r="E455" s="11" t="n"/>
      <c r="F455" s="13" t="n"/>
      <c r="G455" s="11" t="n"/>
      <c r="H455" s="13" t="n"/>
      <c r="I455" s="14">
        <f>IF(A455="","",IF(F455&lt;&gt;"",F455,IFERROR(INDEX(Products!$C:$C,MATCH(A455,Products!$A:$A,0)),"")))</f>
        <v/>
      </c>
      <c r="J455" s="14">
        <f>IF(OR(I455="",H455=""),"",I455-H455)</f>
        <v/>
      </c>
      <c r="K455" s="12">
        <f>IF(A455="","",IF(ISNA(MATCH(A455,Products!$A:$A,0)),"NAME NOT IN PRODUCTS",IF(D455="","ADD STORE SKU",IF(LEFT(D455,2)&lt;&gt;"v-","CHECK: STORE SKU STARTS WITH v-",IF(COUNTIF($D:$D,D455)&gt;1,"DUPLICATE STORE SKU",IF(COUNTIFS($A:$A,A455,$B:$B,B455,$C:$C,C455)&gt;1,"DUPLICATE COLOUR + SIZE","OK"))))))</f>
        <v/>
      </c>
    </row>
    <row r="456">
      <c r="A456" s="9" t="n"/>
      <c r="B456" s="9" t="n"/>
      <c r="C456" s="9" t="n"/>
      <c r="D456" s="9" t="n"/>
      <c r="E456" s="11" t="n"/>
      <c r="F456" s="13" t="n"/>
      <c r="G456" s="11" t="n"/>
      <c r="H456" s="13" t="n"/>
      <c r="I456" s="14">
        <f>IF(A456="","",IF(F456&lt;&gt;"",F456,IFERROR(INDEX(Products!$C:$C,MATCH(A456,Products!$A:$A,0)),"")))</f>
        <v/>
      </c>
      <c r="J456" s="14">
        <f>IF(OR(I456="",H456=""),"",I456-H456)</f>
        <v/>
      </c>
      <c r="K456" s="12">
        <f>IF(A456="","",IF(ISNA(MATCH(A456,Products!$A:$A,0)),"NAME NOT IN PRODUCTS",IF(D456="","ADD STORE SKU",IF(LEFT(D456,2)&lt;&gt;"v-","CHECK: STORE SKU STARTS WITH v-",IF(COUNTIF($D:$D,D456)&gt;1,"DUPLICATE STORE SKU",IF(COUNTIFS($A:$A,A456,$B:$B,B456,$C:$C,C456)&gt;1,"DUPLICATE COLOUR + SIZE","OK"))))))</f>
        <v/>
      </c>
    </row>
    <row r="457">
      <c r="A457" s="9" t="n"/>
      <c r="B457" s="9" t="n"/>
      <c r="C457" s="9" t="n"/>
      <c r="D457" s="9" t="n"/>
      <c r="E457" s="11" t="n"/>
      <c r="F457" s="13" t="n"/>
      <c r="G457" s="11" t="n"/>
      <c r="H457" s="13" t="n"/>
      <c r="I457" s="14">
        <f>IF(A457="","",IF(F457&lt;&gt;"",F457,IFERROR(INDEX(Products!$C:$C,MATCH(A457,Products!$A:$A,0)),"")))</f>
        <v/>
      </c>
      <c r="J457" s="14">
        <f>IF(OR(I457="",H457=""),"",I457-H457)</f>
        <v/>
      </c>
      <c r="K457" s="12">
        <f>IF(A457="","",IF(ISNA(MATCH(A457,Products!$A:$A,0)),"NAME NOT IN PRODUCTS",IF(D457="","ADD STORE SKU",IF(LEFT(D457,2)&lt;&gt;"v-","CHECK: STORE SKU STARTS WITH v-",IF(COUNTIF($D:$D,D457)&gt;1,"DUPLICATE STORE SKU",IF(COUNTIFS($A:$A,A457,$B:$B,B457,$C:$C,C457)&gt;1,"DUPLICATE COLOUR + SIZE","OK"))))))</f>
        <v/>
      </c>
    </row>
    <row r="458">
      <c r="A458" s="9" t="n"/>
      <c r="B458" s="9" t="n"/>
      <c r="C458" s="9" t="n"/>
      <c r="D458" s="9" t="n"/>
      <c r="E458" s="11" t="n"/>
      <c r="F458" s="13" t="n"/>
      <c r="G458" s="11" t="n"/>
      <c r="H458" s="13" t="n"/>
      <c r="I458" s="14">
        <f>IF(A458="","",IF(F458&lt;&gt;"",F458,IFERROR(INDEX(Products!$C:$C,MATCH(A458,Products!$A:$A,0)),"")))</f>
        <v/>
      </c>
      <c r="J458" s="14">
        <f>IF(OR(I458="",H458=""),"",I458-H458)</f>
        <v/>
      </c>
      <c r="K458" s="12">
        <f>IF(A458="","",IF(ISNA(MATCH(A458,Products!$A:$A,0)),"NAME NOT IN PRODUCTS",IF(D458="","ADD STORE SKU",IF(LEFT(D458,2)&lt;&gt;"v-","CHECK: STORE SKU STARTS WITH v-",IF(COUNTIF($D:$D,D458)&gt;1,"DUPLICATE STORE SKU",IF(COUNTIFS($A:$A,A458,$B:$B,B458,$C:$C,C458)&gt;1,"DUPLICATE COLOUR + SIZE","OK"))))))</f>
        <v/>
      </c>
    </row>
    <row r="459">
      <c r="A459" s="9" t="n"/>
      <c r="B459" s="9" t="n"/>
      <c r="C459" s="9" t="n"/>
      <c r="D459" s="9" t="n"/>
      <c r="E459" s="11" t="n"/>
      <c r="F459" s="13" t="n"/>
      <c r="G459" s="11" t="n"/>
      <c r="H459" s="13" t="n"/>
      <c r="I459" s="14">
        <f>IF(A459="","",IF(F459&lt;&gt;"",F459,IFERROR(INDEX(Products!$C:$C,MATCH(A459,Products!$A:$A,0)),"")))</f>
        <v/>
      </c>
      <c r="J459" s="14">
        <f>IF(OR(I459="",H459=""),"",I459-H459)</f>
        <v/>
      </c>
      <c r="K459" s="12">
        <f>IF(A459="","",IF(ISNA(MATCH(A459,Products!$A:$A,0)),"NAME NOT IN PRODUCTS",IF(D459="","ADD STORE SKU",IF(LEFT(D459,2)&lt;&gt;"v-","CHECK: STORE SKU STARTS WITH v-",IF(COUNTIF($D:$D,D459)&gt;1,"DUPLICATE STORE SKU",IF(COUNTIFS($A:$A,A459,$B:$B,B459,$C:$C,C459)&gt;1,"DUPLICATE COLOUR + SIZE","OK"))))))</f>
        <v/>
      </c>
    </row>
    <row r="460">
      <c r="A460" s="9" t="n"/>
      <c r="B460" s="9" t="n"/>
      <c r="C460" s="9" t="n"/>
      <c r="D460" s="9" t="n"/>
      <c r="E460" s="11" t="n"/>
      <c r="F460" s="13" t="n"/>
      <c r="G460" s="11" t="n"/>
      <c r="H460" s="13" t="n"/>
      <c r="I460" s="14">
        <f>IF(A460="","",IF(F460&lt;&gt;"",F460,IFERROR(INDEX(Products!$C:$C,MATCH(A460,Products!$A:$A,0)),"")))</f>
        <v/>
      </c>
      <c r="J460" s="14">
        <f>IF(OR(I460="",H460=""),"",I460-H460)</f>
        <v/>
      </c>
      <c r="K460" s="12">
        <f>IF(A460="","",IF(ISNA(MATCH(A460,Products!$A:$A,0)),"NAME NOT IN PRODUCTS",IF(D460="","ADD STORE SKU",IF(LEFT(D460,2)&lt;&gt;"v-","CHECK: STORE SKU STARTS WITH v-",IF(COUNTIF($D:$D,D460)&gt;1,"DUPLICATE STORE SKU",IF(COUNTIFS($A:$A,A460,$B:$B,B460,$C:$C,C460)&gt;1,"DUPLICATE COLOUR + SIZE","OK"))))))</f>
        <v/>
      </c>
    </row>
    <row r="461">
      <c r="A461" s="9" t="n"/>
      <c r="B461" s="9" t="n"/>
      <c r="C461" s="9" t="n"/>
      <c r="D461" s="9" t="n"/>
      <c r="E461" s="11" t="n"/>
      <c r="F461" s="13" t="n"/>
      <c r="G461" s="11" t="n"/>
      <c r="H461" s="13" t="n"/>
      <c r="I461" s="14">
        <f>IF(A461="","",IF(F461&lt;&gt;"",F461,IFERROR(INDEX(Products!$C:$C,MATCH(A461,Products!$A:$A,0)),"")))</f>
        <v/>
      </c>
      <c r="J461" s="14">
        <f>IF(OR(I461="",H461=""),"",I461-H461)</f>
        <v/>
      </c>
      <c r="K461" s="12">
        <f>IF(A461="","",IF(ISNA(MATCH(A461,Products!$A:$A,0)),"NAME NOT IN PRODUCTS",IF(D461="","ADD STORE SKU",IF(LEFT(D461,2)&lt;&gt;"v-","CHECK: STORE SKU STARTS WITH v-",IF(COUNTIF($D:$D,D461)&gt;1,"DUPLICATE STORE SKU",IF(COUNTIFS($A:$A,A461,$B:$B,B461,$C:$C,C461)&gt;1,"DUPLICATE COLOUR + SIZE","OK"))))))</f>
        <v/>
      </c>
    </row>
    <row r="462">
      <c r="A462" s="9" t="n"/>
      <c r="B462" s="9" t="n"/>
      <c r="C462" s="9" t="n"/>
      <c r="D462" s="9" t="n"/>
      <c r="E462" s="11" t="n"/>
      <c r="F462" s="13" t="n"/>
      <c r="G462" s="11" t="n"/>
      <c r="H462" s="13" t="n"/>
      <c r="I462" s="14">
        <f>IF(A462="","",IF(F462&lt;&gt;"",F462,IFERROR(INDEX(Products!$C:$C,MATCH(A462,Products!$A:$A,0)),"")))</f>
        <v/>
      </c>
      <c r="J462" s="14">
        <f>IF(OR(I462="",H462=""),"",I462-H462)</f>
        <v/>
      </c>
      <c r="K462" s="12">
        <f>IF(A462="","",IF(ISNA(MATCH(A462,Products!$A:$A,0)),"NAME NOT IN PRODUCTS",IF(D462="","ADD STORE SKU",IF(LEFT(D462,2)&lt;&gt;"v-","CHECK: STORE SKU STARTS WITH v-",IF(COUNTIF($D:$D,D462)&gt;1,"DUPLICATE STORE SKU",IF(COUNTIFS($A:$A,A462,$B:$B,B462,$C:$C,C462)&gt;1,"DUPLICATE COLOUR + SIZE","OK"))))))</f>
        <v/>
      </c>
    </row>
    <row r="463">
      <c r="A463" s="9" t="n"/>
      <c r="B463" s="9" t="n"/>
      <c r="C463" s="9" t="n"/>
      <c r="D463" s="9" t="n"/>
      <c r="E463" s="11" t="n"/>
      <c r="F463" s="13" t="n"/>
      <c r="G463" s="11" t="n"/>
      <c r="H463" s="13" t="n"/>
      <c r="I463" s="14">
        <f>IF(A463="","",IF(F463&lt;&gt;"",F463,IFERROR(INDEX(Products!$C:$C,MATCH(A463,Products!$A:$A,0)),"")))</f>
        <v/>
      </c>
      <c r="J463" s="14">
        <f>IF(OR(I463="",H463=""),"",I463-H463)</f>
        <v/>
      </c>
      <c r="K463" s="12">
        <f>IF(A463="","",IF(ISNA(MATCH(A463,Products!$A:$A,0)),"NAME NOT IN PRODUCTS",IF(D463="","ADD STORE SKU",IF(LEFT(D463,2)&lt;&gt;"v-","CHECK: STORE SKU STARTS WITH v-",IF(COUNTIF($D:$D,D463)&gt;1,"DUPLICATE STORE SKU",IF(COUNTIFS($A:$A,A463,$B:$B,B463,$C:$C,C463)&gt;1,"DUPLICATE COLOUR + SIZE","OK"))))))</f>
        <v/>
      </c>
    </row>
    <row r="464">
      <c r="A464" s="9" t="n"/>
      <c r="B464" s="9" t="n"/>
      <c r="C464" s="9" t="n"/>
      <c r="D464" s="9" t="n"/>
      <c r="E464" s="11" t="n"/>
      <c r="F464" s="13" t="n"/>
      <c r="G464" s="11" t="n"/>
      <c r="H464" s="13" t="n"/>
      <c r="I464" s="14">
        <f>IF(A464="","",IF(F464&lt;&gt;"",F464,IFERROR(INDEX(Products!$C:$C,MATCH(A464,Products!$A:$A,0)),"")))</f>
        <v/>
      </c>
      <c r="J464" s="14">
        <f>IF(OR(I464="",H464=""),"",I464-H464)</f>
        <v/>
      </c>
      <c r="K464" s="12">
        <f>IF(A464="","",IF(ISNA(MATCH(A464,Products!$A:$A,0)),"NAME NOT IN PRODUCTS",IF(D464="","ADD STORE SKU",IF(LEFT(D464,2)&lt;&gt;"v-","CHECK: STORE SKU STARTS WITH v-",IF(COUNTIF($D:$D,D464)&gt;1,"DUPLICATE STORE SKU",IF(COUNTIFS($A:$A,A464,$B:$B,B464,$C:$C,C464)&gt;1,"DUPLICATE COLOUR + SIZE","OK"))))))</f>
        <v/>
      </c>
    </row>
    <row r="465">
      <c r="A465" s="9" t="n"/>
      <c r="B465" s="9" t="n"/>
      <c r="C465" s="9" t="n"/>
      <c r="D465" s="9" t="n"/>
      <c r="E465" s="11" t="n"/>
      <c r="F465" s="13" t="n"/>
      <c r="G465" s="11" t="n"/>
      <c r="H465" s="13" t="n"/>
      <c r="I465" s="14">
        <f>IF(A465="","",IF(F465&lt;&gt;"",F465,IFERROR(INDEX(Products!$C:$C,MATCH(A465,Products!$A:$A,0)),"")))</f>
        <v/>
      </c>
      <c r="J465" s="14">
        <f>IF(OR(I465="",H465=""),"",I465-H465)</f>
        <v/>
      </c>
      <c r="K465" s="12">
        <f>IF(A465="","",IF(ISNA(MATCH(A465,Products!$A:$A,0)),"NAME NOT IN PRODUCTS",IF(D465="","ADD STORE SKU",IF(LEFT(D465,2)&lt;&gt;"v-","CHECK: STORE SKU STARTS WITH v-",IF(COUNTIF($D:$D,D465)&gt;1,"DUPLICATE STORE SKU",IF(COUNTIFS($A:$A,A465,$B:$B,B465,$C:$C,C465)&gt;1,"DUPLICATE COLOUR + SIZE","OK"))))))</f>
        <v/>
      </c>
    </row>
    <row r="466">
      <c r="A466" s="9" t="n"/>
      <c r="B466" s="9" t="n"/>
      <c r="C466" s="9" t="n"/>
      <c r="D466" s="9" t="n"/>
      <c r="E466" s="11" t="n"/>
      <c r="F466" s="13" t="n"/>
      <c r="G466" s="11" t="n"/>
      <c r="H466" s="13" t="n"/>
      <c r="I466" s="14">
        <f>IF(A466="","",IF(F466&lt;&gt;"",F466,IFERROR(INDEX(Products!$C:$C,MATCH(A466,Products!$A:$A,0)),"")))</f>
        <v/>
      </c>
      <c r="J466" s="14">
        <f>IF(OR(I466="",H466=""),"",I466-H466)</f>
        <v/>
      </c>
      <c r="K466" s="12">
        <f>IF(A466="","",IF(ISNA(MATCH(A466,Products!$A:$A,0)),"NAME NOT IN PRODUCTS",IF(D466="","ADD STORE SKU",IF(LEFT(D466,2)&lt;&gt;"v-","CHECK: STORE SKU STARTS WITH v-",IF(COUNTIF($D:$D,D466)&gt;1,"DUPLICATE STORE SKU",IF(COUNTIFS($A:$A,A466,$B:$B,B466,$C:$C,C466)&gt;1,"DUPLICATE COLOUR + SIZE","OK"))))))</f>
        <v/>
      </c>
    </row>
    <row r="467">
      <c r="A467" s="9" t="n"/>
      <c r="B467" s="9" t="n"/>
      <c r="C467" s="9" t="n"/>
      <c r="D467" s="9" t="n"/>
      <c r="E467" s="11" t="n"/>
      <c r="F467" s="13" t="n"/>
      <c r="G467" s="11" t="n"/>
      <c r="H467" s="13" t="n"/>
      <c r="I467" s="14">
        <f>IF(A467="","",IF(F467&lt;&gt;"",F467,IFERROR(INDEX(Products!$C:$C,MATCH(A467,Products!$A:$A,0)),"")))</f>
        <v/>
      </c>
      <c r="J467" s="14">
        <f>IF(OR(I467="",H467=""),"",I467-H467)</f>
        <v/>
      </c>
      <c r="K467" s="12">
        <f>IF(A467="","",IF(ISNA(MATCH(A467,Products!$A:$A,0)),"NAME NOT IN PRODUCTS",IF(D467="","ADD STORE SKU",IF(LEFT(D467,2)&lt;&gt;"v-","CHECK: STORE SKU STARTS WITH v-",IF(COUNTIF($D:$D,D467)&gt;1,"DUPLICATE STORE SKU",IF(COUNTIFS($A:$A,A467,$B:$B,B467,$C:$C,C467)&gt;1,"DUPLICATE COLOUR + SIZE","OK"))))))</f>
        <v/>
      </c>
    </row>
    <row r="468">
      <c r="A468" s="9" t="n"/>
      <c r="B468" s="9" t="n"/>
      <c r="C468" s="9" t="n"/>
      <c r="D468" s="9" t="n"/>
      <c r="E468" s="11" t="n"/>
      <c r="F468" s="13" t="n"/>
      <c r="G468" s="11" t="n"/>
      <c r="H468" s="13" t="n"/>
      <c r="I468" s="14">
        <f>IF(A468="","",IF(F468&lt;&gt;"",F468,IFERROR(INDEX(Products!$C:$C,MATCH(A468,Products!$A:$A,0)),"")))</f>
        <v/>
      </c>
      <c r="J468" s="14">
        <f>IF(OR(I468="",H468=""),"",I468-H468)</f>
        <v/>
      </c>
      <c r="K468" s="12">
        <f>IF(A468="","",IF(ISNA(MATCH(A468,Products!$A:$A,0)),"NAME NOT IN PRODUCTS",IF(D468="","ADD STORE SKU",IF(LEFT(D468,2)&lt;&gt;"v-","CHECK: STORE SKU STARTS WITH v-",IF(COUNTIF($D:$D,D468)&gt;1,"DUPLICATE STORE SKU",IF(COUNTIFS($A:$A,A468,$B:$B,B468,$C:$C,C468)&gt;1,"DUPLICATE COLOUR + SIZE","OK"))))))</f>
        <v/>
      </c>
    </row>
    <row r="469">
      <c r="A469" s="9" t="n"/>
      <c r="B469" s="9" t="n"/>
      <c r="C469" s="9" t="n"/>
      <c r="D469" s="9" t="n"/>
      <c r="E469" s="11" t="n"/>
      <c r="F469" s="13" t="n"/>
      <c r="G469" s="11" t="n"/>
      <c r="H469" s="13" t="n"/>
      <c r="I469" s="14">
        <f>IF(A469="","",IF(F469&lt;&gt;"",F469,IFERROR(INDEX(Products!$C:$C,MATCH(A469,Products!$A:$A,0)),"")))</f>
        <v/>
      </c>
      <c r="J469" s="14">
        <f>IF(OR(I469="",H469=""),"",I469-H469)</f>
        <v/>
      </c>
      <c r="K469" s="12">
        <f>IF(A469="","",IF(ISNA(MATCH(A469,Products!$A:$A,0)),"NAME NOT IN PRODUCTS",IF(D469="","ADD STORE SKU",IF(LEFT(D469,2)&lt;&gt;"v-","CHECK: STORE SKU STARTS WITH v-",IF(COUNTIF($D:$D,D469)&gt;1,"DUPLICATE STORE SKU",IF(COUNTIFS($A:$A,A469,$B:$B,B469,$C:$C,C469)&gt;1,"DUPLICATE COLOUR + SIZE","OK"))))))</f>
        <v/>
      </c>
    </row>
    <row r="470">
      <c r="A470" s="9" t="n"/>
      <c r="B470" s="9" t="n"/>
      <c r="C470" s="9" t="n"/>
      <c r="D470" s="9" t="n"/>
      <c r="E470" s="11" t="n"/>
      <c r="F470" s="13" t="n"/>
      <c r="G470" s="11" t="n"/>
      <c r="H470" s="13" t="n"/>
      <c r="I470" s="14">
        <f>IF(A470="","",IF(F470&lt;&gt;"",F470,IFERROR(INDEX(Products!$C:$C,MATCH(A470,Products!$A:$A,0)),"")))</f>
        <v/>
      </c>
      <c r="J470" s="14">
        <f>IF(OR(I470="",H470=""),"",I470-H470)</f>
        <v/>
      </c>
      <c r="K470" s="12">
        <f>IF(A470="","",IF(ISNA(MATCH(A470,Products!$A:$A,0)),"NAME NOT IN PRODUCTS",IF(D470="","ADD STORE SKU",IF(LEFT(D470,2)&lt;&gt;"v-","CHECK: STORE SKU STARTS WITH v-",IF(COUNTIF($D:$D,D470)&gt;1,"DUPLICATE STORE SKU",IF(COUNTIFS($A:$A,A470,$B:$B,B470,$C:$C,C470)&gt;1,"DUPLICATE COLOUR + SIZE","OK"))))))</f>
        <v/>
      </c>
    </row>
    <row r="471">
      <c r="A471" s="9" t="n"/>
      <c r="B471" s="9" t="n"/>
      <c r="C471" s="9" t="n"/>
      <c r="D471" s="9" t="n"/>
      <c r="E471" s="11" t="n"/>
      <c r="F471" s="13" t="n"/>
      <c r="G471" s="11" t="n"/>
      <c r="H471" s="13" t="n"/>
      <c r="I471" s="14">
        <f>IF(A471="","",IF(F471&lt;&gt;"",F471,IFERROR(INDEX(Products!$C:$C,MATCH(A471,Products!$A:$A,0)),"")))</f>
        <v/>
      </c>
      <c r="J471" s="14">
        <f>IF(OR(I471="",H471=""),"",I471-H471)</f>
        <v/>
      </c>
      <c r="K471" s="12">
        <f>IF(A471="","",IF(ISNA(MATCH(A471,Products!$A:$A,0)),"NAME NOT IN PRODUCTS",IF(D471="","ADD STORE SKU",IF(LEFT(D471,2)&lt;&gt;"v-","CHECK: STORE SKU STARTS WITH v-",IF(COUNTIF($D:$D,D471)&gt;1,"DUPLICATE STORE SKU",IF(COUNTIFS($A:$A,A471,$B:$B,B471,$C:$C,C471)&gt;1,"DUPLICATE COLOUR + SIZE","OK"))))))</f>
        <v/>
      </c>
    </row>
    <row r="472">
      <c r="A472" s="9" t="n"/>
      <c r="B472" s="9" t="n"/>
      <c r="C472" s="9" t="n"/>
      <c r="D472" s="9" t="n"/>
      <c r="E472" s="11" t="n"/>
      <c r="F472" s="13" t="n"/>
      <c r="G472" s="11" t="n"/>
      <c r="H472" s="13" t="n"/>
      <c r="I472" s="14">
        <f>IF(A472="","",IF(F472&lt;&gt;"",F472,IFERROR(INDEX(Products!$C:$C,MATCH(A472,Products!$A:$A,0)),"")))</f>
        <v/>
      </c>
      <c r="J472" s="14">
        <f>IF(OR(I472="",H472=""),"",I472-H472)</f>
        <v/>
      </c>
      <c r="K472" s="12">
        <f>IF(A472="","",IF(ISNA(MATCH(A472,Products!$A:$A,0)),"NAME NOT IN PRODUCTS",IF(D472="","ADD STORE SKU",IF(LEFT(D472,2)&lt;&gt;"v-","CHECK: STORE SKU STARTS WITH v-",IF(COUNTIF($D:$D,D472)&gt;1,"DUPLICATE STORE SKU",IF(COUNTIFS($A:$A,A472,$B:$B,B472,$C:$C,C472)&gt;1,"DUPLICATE COLOUR + SIZE","OK"))))))</f>
        <v/>
      </c>
    </row>
    <row r="473">
      <c r="A473" s="9" t="n"/>
      <c r="B473" s="9" t="n"/>
      <c r="C473" s="9" t="n"/>
      <c r="D473" s="9" t="n"/>
      <c r="E473" s="11" t="n"/>
      <c r="F473" s="13" t="n"/>
      <c r="G473" s="11" t="n"/>
      <c r="H473" s="13" t="n"/>
      <c r="I473" s="14">
        <f>IF(A473="","",IF(F473&lt;&gt;"",F473,IFERROR(INDEX(Products!$C:$C,MATCH(A473,Products!$A:$A,0)),"")))</f>
        <v/>
      </c>
      <c r="J473" s="14">
        <f>IF(OR(I473="",H473=""),"",I473-H473)</f>
        <v/>
      </c>
      <c r="K473" s="12">
        <f>IF(A473="","",IF(ISNA(MATCH(A473,Products!$A:$A,0)),"NAME NOT IN PRODUCTS",IF(D473="","ADD STORE SKU",IF(LEFT(D473,2)&lt;&gt;"v-","CHECK: STORE SKU STARTS WITH v-",IF(COUNTIF($D:$D,D473)&gt;1,"DUPLICATE STORE SKU",IF(COUNTIFS($A:$A,A473,$B:$B,B473,$C:$C,C473)&gt;1,"DUPLICATE COLOUR + SIZE","OK"))))))</f>
        <v/>
      </c>
    </row>
    <row r="474">
      <c r="A474" s="9" t="n"/>
      <c r="B474" s="9" t="n"/>
      <c r="C474" s="9" t="n"/>
      <c r="D474" s="9" t="n"/>
      <c r="E474" s="11" t="n"/>
      <c r="F474" s="13" t="n"/>
      <c r="G474" s="11" t="n"/>
      <c r="H474" s="13" t="n"/>
      <c r="I474" s="14">
        <f>IF(A474="","",IF(F474&lt;&gt;"",F474,IFERROR(INDEX(Products!$C:$C,MATCH(A474,Products!$A:$A,0)),"")))</f>
        <v/>
      </c>
      <c r="J474" s="14">
        <f>IF(OR(I474="",H474=""),"",I474-H474)</f>
        <v/>
      </c>
      <c r="K474" s="12">
        <f>IF(A474="","",IF(ISNA(MATCH(A474,Products!$A:$A,0)),"NAME NOT IN PRODUCTS",IF(D474="","ADD STORE SKU",IF(LEFT(D474,2)&lt;&gt;"v-","CHECK: STORE SKU STARTS WITH v-",IF(COUNTIF($D:$D,D474)&gt;1,"DUPLICATE STORE SKU",IF(COUNTIFS($A:$A,A474,$B:$B,B474,$C:$C,C474)&gt;1,"DUPLICATE COLOUR + SIZE","OK"))))))</f>
        <v/>
      </c>
    </row>
    <row r="475">
      <c r="A475" s="9" t="n"/>
      <c r="B475" s="9" t="n"/>
      <c r="C475" s="9" t="n"/>
      <c r="D475" s="9" t="n"/>
      <c r="E475" s="11" t="n"/>
      <c r="F475" s="13" t="n"/>
      <c r="G475" s="11" t="n"/>
      <c r="H475" s="13" t="n"/>
      <c r="I475" s="14">
        <f>IF(A475="","",IF(F475&lt;&gt;"",F475,IFERROR(INDEX(Products!$C:$C,MATCH(A475,Products!$A:$A,0)),"")))</f>
        <v/>
      </c>
      <c r="J475" s="14">
        <f>IF(OR(I475="",H475=""),"",I475-H475)</f>
        <v/>
      </c>
      <c r="K475" s="12">
        <f>IF(A475="","",IF(ISNA(MATCH(A475,Products!$A:$A,0)),"NAME NOT IN PRODUCTS",IF(D475="","ADD STORE SKU",IF(LEFT(D475,2)&lt;&gt;"v-","CHECK: STORE SKU STARTS WITH v-",IF(COUNTIF($D:$D,D475)&gt;1,"DUPLICATE STORE SKU",IF(COUNTIFS($A:$A,A475,$B:$B,B475,$C:$C,C475)&gt;1,"DUPLICATE COLOUR + SIZE","OK"))))))</f>
        <v/>
      </c>
    </row>
    <row r="476">
      <c r="A476" s="9" t="n"/>
      <c r="B476" s="9" t="n"/>
      <c r="C476" s="9" t="n"/>
      <c r="D476" s="9" t="n"/>
      <c r="E476" s="11" t="n"/>
      <c r="F476" s="13" t="n"/>
      <c r="G476" s="11" t="n"/>
      <c r="H476" s="13" t="n"/>
      <c r="I476" s="14">
        <f>IF(A476="","",IF(F476&lt;&gt;"",F476,IFERROR(INDEX(Products!$C:$C,MATCH(A476,Products!$A:$A,0)),"")))</f>
        <v/>
      </c>
      <c r="J476" s="14">
        <f>IF(OR(I476="",H476=""),"",I476-H476)</f>
        <v/>
      </c>
      <c r="K476" s="12">
        <f>IF(A476="","",IF(ISNA(MATCH(A476,Products!$A:$A,0)),"NAME NOT IN PRODUCTS",IF(D476="","ADD STORE SKU",IF(LEFT(D476,2)&lt;&gt;"v-","CHECK: STORE SKU STARTS WITH v-",IF(COUNTIF($D:$D,D476)&gt;1,"DUPLICATE STORE SKU",IF(COUNTIFS($A:$A,A476,$B:$B,B476,$C:$C,C476)&gt;1,"DUPLICATE COLOUR + SIZE","OK"))))))</f>
        <v/>
      </c>
    </row>
    <row r="477">
      <c r="A477" s="9" t="n"/>
      <c r="B477" s="9" t="n"/>
      <c r="C477" s="9" t="n"/>
      <c r="D477" s="9" t="n"/>
      <c r="E477" s="11" t="n"/>
      <c r="F477" s="13" t="n"/>
      <c r="G477" s="11" t="n"/>
      <c r="H477" s="13" t="n"/>
      <c r="I477" s="14">
        <f>IF(A477="","",IF(F477&lt;&gt;"",F477,IFERROR(INDEX(Products!$C:$C,MATCH(A477,Products!$A:$A,0)),"")))</f>
        <v/>
      </c>
      <c r="J477" s="14">
        <f>IF(OR(I477="",H477=""),"",I477-H477)</f>
        <v/>
      </c>
      <c r="K477" s="12">
        <f>IF(A477="","",IF(ISNA(MATCH(A477,Products!$A:$A,0)),"NAME NOT IN PRODUCTS",IF(D477="","ADD STORE SKU",IF(LEFT(D477,2)&lt;&gt;"v-","CHECK: STORE SKU STARTS WITH v-",IF(COUNTIF($D:$D,D477)&gt;1,"DUPLICATE STORE SKU",IF(COUNTIFS($A:$A,A477,$B:$B,B477,$C:$C,C477)&gt;1,"DUPLICATE COLOUR + SIZE","OK"))))))</f>
        <v/>
      </c>
    </row>
    <row r="478">
      <c r="A478" s="9" t="n"/>
      <c r="B478" s="9" t="n"/>
      <c r="C478" s="9" t="n"/>
      <c r="D478" s="9" t="n"/>
      <c r="E478" s="11" t="n"/>
      <c r="F478" s="13" t="n"/>
      <c r="G478" s="11" t="n"/>
      <c r="H478" s="13" t="n"/>
      <c r="I478" s="14">
        <f>IF(A478="","",IF(F478&lt;&gt;"",F478,IFERROR(INDEX(Products!$C:$C,MATCH(A478,Products!$A:$A,0)),"")))</f>
        <v/>
      </c>
      <c r="J478" s="14">
        <f>IF(OR(I478="",H478=""),"",I478-H478)</f>
        <v/>
      </c>
      <c r="K478" s="12">
        <f>IF(A478="","",IF(ISNA(MATCH(A478,Products!$A:$A,0)),"NAME NOT IN PRODUCTS",IF(D478="","ADD STORE SKU",IF(LEFT(D478,2)&lt;&gt;"v-","CHECK: STORE SKU STARTS WITH v-",IF(COUNTIF($D:$D,D478)&gt;1,"DUPLICATE STORE SKU",IF(COUNTIFS($A:$A,A478,$B:$B,B478,$C:$C,C478)&gt;1,"DUPLICATE COLOUR + SIZE","OK"))))))</f>
        <v/>
      </c>
    </row>
    <row r="479">
      <c r="A479" s="9" t="n"/>
      <c r="B479" s="9" t="n"/>
      <c r="C479" s="9" t="n"/>
      <c r="D479" s="9" t="n"/>
      <c r="E479" s="11" t="n"/>
      <c r="F479" s="13" t="n"/>
      <c r="G479" s="11" t="n"/>
      <c r="H479" s="13" t="n"/>
      <c r="I479" s="14">
        <f>IF(A479="","",IF(F479&lt;&gt;"",F479,IFERROR(INDEX(Products!$C:$C,MATCH(A479,Products!$A:$A,0)),"")))</f>
        <v/>
      </c>
      <c r="J479" s="14">
        <f>IF(OR(I479="",H479=""),"",I479-H479)</f>
        <v/>
      </c>
      <c r="K479" s="12">
        <f>IF(A479="","",IF(ISNA(MATCH(A479,Products!$A:$A,0)),"NAME NOT IN PRODUCTS",IF(D479="","ADD STORE SKU",IF(LEFT(D479,2)&lt;&gt;"v-","CHECK: STORE SKU STARTS WITH v-",IF(COUNTIF($D:$D,D479)&gt;1,"DUPLICATE STORE SKU",IF(COUNTIFS($A:$A,A479,$B:$B,B479,$C:$C,C479)&gt;1,"DUPLICATE COLOUR + SIZE","OK"))))))</f>
        <v/>
      </c>
    </row>
    <row r="480">
      <c r="A480" s="9" t="n"/>
      <c r="B480" s="9" t="n"/>
      <c r="C480" s="9" t="n"/>
      <c r="D480" s="9" t="n"/>
      <c r="E480" s="11" t="n"/>
      <c r="F480" s="13" t="n"/>
      <c r="G480" s="11" t="n"/>
      <c r="H480" s="13" t="n"/>
      <c r="I480" s="14">
        <f>IF(A480="","",IF(F480&lt;&gt;"",F480,IFERROR(INDEX(Products!$C:$C,MATCH(A480,Products!$A:$A,0)),"")))</f>
        <v/>
      </c>
      <c r="J480" s="14">
        <f>IF(OR(I480="",H480=""),"",I480-H480)</f>
        <v/>
      </c>
      <c r="K480" s="12">
        <f>IF(A480="","",IF(ISNA(MATCH(A480,Products!$A:$A,0)),"NAME NOT IN PRODUCTS",IF(D480="","ADD STORE SKU",IF(LEFT(D480,2)&lt;&gt;"v-","CHECK: STORE SKU STARTS WITH v-",IF(COUNTIF($D:$D,D480)&gt;1,"DUPLICATE STORE SKU",IF(COUNTIFS($A:$A,A480,$B:$B,B480,$C:$C,C480)&gt;1,"DUPLICATE COLOUR + SIZE","OK"))))))</f>
        <v/>
      </c>
    </row>
    <row r="481">
      <c r="A481" s="9" t="n"/>
      <c r="B481" s="9" t="n"/>
      <c r="C481" s="9" t="n"/>
      <c r="D481" s="9" t="n"/>
      <c r="E481" s="11" t="n"/>
      <c r="F481" s="13" t="n"/>
      <c r="G481" s="11" t="n"/>
      <c r="H481" s="13" t="n"/>
      <c r="I481" s="14">
        <f>IF(A481="","",IF(F481&lt;&gt;"",F481,IFERROR(INDEX(Products!$C:$C,MATCH(A481,Products!$A:$A,0)),"")))</f>
        <v/>
      </c>
      <c r="J481" s="14">
        <f>IF(OR(I481="",H481=""),"",I481-H481)</f>
        <v/>
      </c>
      <c r="K481" s="12">
        <f>IF(A481="","",IF(ISNA(MATCH(A481,Products!$A:$A,0)),"NAME NOT IN PRODUCTS",IF(D481="","ADD STORE SKU",IF(LEFT(D481,2)&lt;&gt;"v-","CHECK: STORE SKU STARTS WITH v-",IF(COUNTIF($D:$D,D481)&gt;1,"DUPLICATE STORE SKU",IF(COUNTIFS($A:$A,A481,$B:$B,B481,$C:$C,C481)&gt;1,"DUPLICATE COLOUR + SIZE","OK"))))))</f>
        <v/>
      </c>
    </row>
    <row r="482">
      <c r="A482" s="9" t="n"/>
      <c r="B482" s="9" t="n"/>
      <c r="C482" s="9" t="n"/>
      <c r="D482" s="9" t="n"/>
      <c r="E482" s="11" t="n"/>
      <c r="F482" s="13" t="n"/>
      <c r="G482" s="11" t="n"/>
      <c r="H482" s="13" t="n"/>
      <c r="I482" s="14">
        <f>IF(A482="","",IF(F482&lt;&gt;"",F482,IFERROR(INDEX(Products!$C:$C,MATCH(A482,Products!$A:$A,0)),"")))</f>
        <v/>
      </c>
      <c r="J482" s="14">
        <f>IF(OR(I482="",H482=""),"",I482-H482)</f>
        <v/>
      </c>
      <c r="K482" s="12">
        <f>IF(A482="","",IF(ISNA(MATCH(A482,Products!$A:$A,0)),"NAME NOT IN PRODUCTS",IF(D482="","ADD STORE SKU",IF(LEFT(D482,2)&lt;&gt;"v-","CHECK: STORE SKU STARTS WITH v-",IF(COUNTIF($D:$D,D482)&gt;1,"DUPLICATE STORE SKU",IF(COUNTIFS($A:$A,A482,$B:$B,B482,$C:$C,C482)&gt;1,"DUPLICATE COLOUR + SIZE","OK"))))))</f>
        <v/>
      </c>
    </row>
    <row r="483">
      <c r="A483" s="9" t="n"/>
      <c r="B483" s="9" t="n"/>
      <c r="C483" s="9" t="n"/>
      <c r="D483" s="9" t="n"/>
      <c r="E483" s="11" t="n"/>
      <c r="F483" s="13" t="n"/>
      <c r="G483" s="11" t="n"/>
      <c r="H483" s="13" t="n"/>
      <c r="I483" s="14">
        <f>IF(A483="","",IF(F483&lt;&gt;"",F483,IFERROR(INDEX(Products!$C:$C,MATCH(A483,Products!$A:$A,0)),"")))</f>
        <v/>
      </c>
      <c r="J483" s="14">
        <f>IF(OR(I483="",H483=""),"",I483-H483)</f>
        <v/>
      </c>
      <c r="K483" s="12">
        <f>IF(A483="","",IF(ISNA(MATCH(A483,Products!$A:$A,0)),"NAME NOT IN PRODUCTS",IF(D483="","ADD STORE SKU",IF(LEFT(D483,2)&lt;&gt;"v-","CHECK: STORE SKU STARTS WITH v-",IF(COUNTIF($D:$D,D483)&gt;1,"DUPLICATE STORE SKU",IF(COUNTIFS($A:$A,A483,$B:$B,B483,$C:$C,C483)&gt;1,"DUPLICATE COLOUR + SIZE","OK"))))))</f>
        <v/>
      </c>
    </row>
    <row r="484">
      <c r="A484" s="9" t="n"/>
      <c r="B484" s="9" t="n"/>
      <c r="C484" s="9" t="n"/>
      <c r="D484" s="9" t="n"/>
      <c r="E484" s="11" t="n"/>
      <c r="F484" s="13" t="n"/>
      <c r="G484" s="11" t="n"/>
      <c r="H484" s="13" t="n"/>
      <c r="I484" s="14">
        <f>IF(A484="","",IF(F484&lt;&gt;"",F484,IFERROR(INDEX(Products!$C:$C,MATCH(A484,Products!$A:$A,0)),"")))</f>
        <v/>
      </c>
      <c r="J484" s="14">
        <f>IF(OR(I484="",H484=""),"",I484-H484)</f>
        <v/>
      </c>
      <c r="K484" s="12">
        <f>IF(A484="","",IF(ISNA(MATCH(A484,Products!$A:$A,0)),"NAME NOT IN PRODUCTS",IF(D484="","ADD STORE SKU",IF(LEFT(D484,2)&lt;&gt;"v-","CHECK: STORE SKU STARTS WITH v-",IF(COUNTIF($D:$D,D484)&gt;1,"DUPLICATE STORE SKU",IF(COUNTIFS($A:$A,A484,$B:$B,B484,$C:$C,C484)&gt;1,"DUPLICATE COLOUR + SIZE","OK"))))))</f>
        <v/>
      </c>
    </row>
    <row r="485">
      <c r="A485" s="9" t="n"/>
      <c r="B485" s="9" t="n"/>
      <c r="C485" s="9" t="n"/>
      <c r="D485" s="9" t="n"/>
      <c r="E485" s="11" t="n"/>
      <c r="F485" s="13" t="n"/>
      <c r="G485" s="11" t="n"/>
      <c r="H485" s="13" t="n"/>
      <c r="I485" s="14">
        <f>IF(A485="","",IF(F485&lt;&gt;"",F485,IFERROR(INDEX(Products!$C:$C,MATCH(A485,Products!$A:$A,0)),"")))</f>
        <v/>
      </c>
      <c r="J485" s="14">
        <f>IF(OR(I485="",H485=""),"",I485-H485)</f>
        <v/>
      </c>
      <c r="K485" s="12">
        <f>IF(A485="","",IF(ISNA(MATCH(A485,Products!$A:$A,0)),"NAME NOT IN PRODUCTS",IF(D485="","ADD STORE SKU",IF(LEFT(D485,2)&lt;&gt;"v-","CHECK: STORE SKU STARTS WITH v-",IF(COUNTIF($D:$D,D485)&gt;1,"DUPLICATE STORE SKU",IF(COUNTIFS($A:$A,A485,$B:$B,B485,$C:$C,C485)&gt;1,"DUPLICATE COLOUR + SIZE","OK"))))))</f>
        <v/>
      </c>
    </row>
    <row r="486">
      <c r="A486" s="9" t="n"/>
      <c r="B486" s="9" t="n"/>
      <c r="C486" s="9" t="n"/>
      <c r="D486" s="9" t="n"/>
      <c r="E486" s="11" t="n"/>
      <c r="F486" s="13" t="n"/>
      <c r="G486" s="11" t="n"/>
      <c r="H486" s="13" t="n"/>
      <c r="I486" s="14">
        <f>IF(A486="","",IF(F486&lt;&gt;"",F486,IFERROR(INDEX(Products!$C:$C,MATCH(A486,Products!$A:$A,0)),"")))</f>
        <v/>
      </c>
      <c r="J486" s="14">
        <f>IF(OR(I486="",H486=""),"",I486-H486)</f>
        <v/>
      </c>
      <c r="K486" s="12">
        <f>IF(A486="","",IF(ISNA(MATCH(A486,Products!$A:$A,0)),"NAME NOT IN PRODUCTS",IF(D486="","ADD STORE SKU",IF(LEFT(D486,2)&lt;&gt;"v-","CHECK: STORE SKU STARTS WITH v-",IF(COUNTIF($D:$D,D486)&gt;1,"DUPLICATE STORE SKU",IF(COUNTIFS($A:$A,A486,$B:$B,B486,$C:$C,C486)&gt;1,"DUPLICATE COLOUR + SIZE","OK"))))))</f>
        <v/>
      </c>
    </row>
    <row r="487">
      <c r="A487" s="9" t="n"/>
      <c r="B487" s="9" t="n"/>
      <c r="C487" s="9" t="n"/>
      <c r="D487" s="9" t="n"/>
      <c r="E487" s="11" t="n"/>
      <c r="F487" s="13" t="n"/>
      <c r="G487" s="11" t="n"/>
      <c r="H487" s="13" t="n"/>
      <c r="I487" s="14">
        <f>IF(A487="","",IF(F487&lt;&gt;"",F487,IFERROR(INDEX(Products!$C:$C,MATCH(A487,Products!$A:$A,0)),"")))</f>
        <v/>
      </c>
      <c r="J487" s="14">
        <f>IF(OR(I487="",H487=""),"",I487-H487)</f>
        <v/>
      </c>
      <c r="K487" s="12">
        <f>IF(A487="","",IF(ISNA(MATCH(A487,Products!$A:$A,0)),"NAME NOT IN PRODUCTS",IF(D487="","ADD STORE SKU",IF(LEFT(D487,2)&lt;&gt;"v-","CHECK: STORE SKU STARTS WITH v-",IF(COUNTIF($D:$D,D487)&gt;1,"DUPLICATE STORE SKU",IF(COUNTIFS($A:$A,A487,$B:$B,B487,$C:$C,C487)&gt;1,"DUPLICATE COLOUR + SIZE","OK"))))))</f>
        <v/>
      </c>
    </row>
    <row r="488">
      <c r="A488" s="9" t="n"/>
      <c r="B488" s="9" t="n"/>
      <c r="C488" s="9" t="n"/>
      <c r="D488" s="9" t="n"/>
      <c r="E488" s="11" t="n"/>
      <c r="F488" s="13" t="n"/>
      <c r="G488" s="11" t="n"/>
      <c r="H488" s="13" t="n"/>
      <c r="I488" s="14">
        <f>IF(A488="","",IF(F488&lt;&gt;"",F488,IFERROR(INDEX(Products!$C:$C,MATCH(A488,Products!$A:$A,0)),"")))</f>
        <v/>
      </c>
      <c r="J488" s="14">
        <f>IF(OR(I488="",H488=""),"",I488-H488)</f>
        <v/>
      </c>
      <c r="K488" s="12">
        <f>IF(A488="","",IF(ISNA(MATCH(A488,Products!$A:$A,0)),"NAME NOT IN PRODUCTS",IF(D488="","ADD STORE SKU",IF(LEFT(D488,2)&lt;&gt;"v-","CHECK: STORE SKU STARTS WITH v-",IF(COUNTIF($D:$D,D488)&gt;1,"DUPLICATE STORE SKU",IF(COUNTIFS($A:$A,A488,$B:$B,B488,$C:$C,C488)&gt;1,"DUPLICATE COLOUR + SIZE","OK"))))))</f>
        <v/>
      </c>
    </row>
    <row r="489">
      <c r="A489" s="9" t="n"/>
      <c r="B489" s="9" t="n"/>
      <c r="C489" s="9" t="n"/>
      <c r="D489" s="9" t="n"/>
      <c r="E489" s="11" t="n"/>
      <c r="F489" s="13" t="n"/>
      <c r="G489" s="11" t="n"/>
      <c r="H489" s="13" t="n"/>
      <c r="I489" s="14">
        <f>IF(A489="","",IF(F489&lt;&gt;"",F489,IFERROR(INDEX(Products!$C:$C,MATCH(A489,Products!$A:$A,0)),"")))</f>
        <v/>
      </c>
      <c r="J489" s="14">
        <f>IF(OR(I489="",H489=""),"",I489-H489)</f>
        <v/>
      </c>
      <c r="K489" s="12">
        <f>IF(A489="","",IF(ISNA(MATCH(A489,Products!$A:$A,0)),"NAME NOT IN PRODUCTS",IF(D489="","ADD STORE SKU",IF(LEFT(D489,2)&lt;&gt;"v-","CHECK: STORE SKU STARTS WITH v-",IF(COUNTIF($D:$D,D489)&gt;1,"DUPLICATE STORE SKU",IF(COUNTIFS($A:$A,A489,$B:$B,B489,$C:$C,C489)&gt;1,"DUPLICATE COLOUR + SIZE","OK"))))))</f>
        <v/>
      </c>
    </row>
    <row r="490">
      <c r="A490" s="9" t="n"/>
      <c r="B490" s="9" t="n"/>
      <c r="C490" s="9" t="n"/>
      <c r="D490" s="9" t="n"/>
      <c r="E490" s="11" t="n"/>
      <c r="F490" s="13" t="n"/>
      <c r="G490" s="11" t="n"/>
      <c r="H490" s="13" t="n"/>
      <c r="I490" s="14">
        <f>IF(A490="","",IF(F490&lt;&gt;"",F490,IFERROR(INDEX(Products!$C:$C,MATCH(A490,Products!$A:$A,0)),"")))</f>
        <v/>
      </c>
      <c r="J490" s="14">
        <f>IF(OR(I490="",H490=""),"",I490-H490)</f>
        <v/>
      </c>
      <c r="K490" s="12">
        <f>IF(A490="","",IF(ISNA(MATCH(A490,Products!$A:$A,0)),"NAME NOT IN PRODUCTS",IF(D490="","ADD STORE SKU",IF(LEFT(D490,2)&lt;&gt;"v-","CHECK: STORE SKU STARTS WITH v-",IF(COUNTIF($D:$D,D490)&gt;1,"DUPLICATE STORE SKU",IF(COUNTIFS($A:$A,A490,$B:$B,B490,$C:$C,C490)&gt;1,"DUPLICATE COLOUR + SIZE","OK"))))))</f>
        <v/>
      </c>
    </row>
    <row r="491">
      <c r="A491" s="9" t="n"/>
      <c r="B491" s="9" t="n"/>
      <c r="C491" s="9" t="n"/>
      <c r="D491" s="9" t="n"/>
      <c r="E491" s="11" t="n"/>
      <c r="F491" s="13" t="n"/>
      <c r="G491" s="11" t="n"/>
      <c r="H491" s="13" t="n"/>
      <c r="I491" s="14">
        <f>IF(A491="","",IF(F491&lt;&gt;"",F491,IFERROR(INDEX(Products!$C:$C,MATCH(A491,Products!$A:$A,0)),"")))</f>
        <v/>
      </c>
      <c r="J491" s="14">
        <f>IF(OR(I491="",H491=""),"",I491-H491)</f>
        <v/>
      </c>
      <c r="K491" s="12">
        <f>IF(A491="","",IF(ISNA(MATCH(A491,Products!$A:$A,0)),"NAME NOT IN PRODUCTS",IF(D491="","ADD STORE SKU",IF(LEFT(D491,2)&lt;&gt;"v-","CHECK: STORE SKU STARTS WITH v-",IF(COUNTIF($D:$D,D491)&gt;1,"DUPLICATE STORE SKU",IF(COUNTIFS($A:$A,A491,$B:$B,B491,$C:$C,C491)&gt;1,"DUPLICATE COLOUR + SIZE","OK"))))))</f>
        <v/>
      </c>
    </row>
    <row r="492">
      <c r="A492" s="9" t="n"/>
      <c r="B492" s="9" t="n"/>
      <c r="C492" s="9" t="n"/>
      <c r="D492" s="9" t="n"/>
      <c r="E492" s="11" t="n"/>
      <c r="F492" s="13" t="n"/>
      <c r="G492" s="11" t="n"/>
      <c r="H492" s="13" t="n"/>
      <c r="I492" s="14">
        <f>IF(A492="","",IF(F492&lt;&gt;"",F492,IFERROR(INDEX(Products!$C:$C,MATCH(A492,Products!$A:$A,0)),"")))</f>
        <v/>
      </c>
      <c r="J492" s="14">
        <f>IF(OR(I492="",H492=""),"",I492-H492)</f>
        <v/>
      </c>
      <c r="K492" s="12">
        <f>IF(A492="","",IF(ISNA(MATCH(A492,Products!$A:$A,0)),"NAME NOT IN PRODUCTS",IF(D492="","ADD STORE SKU",IF(LEFT(D492,2)&lt;&gt;"v-","CHECK: STORE SKU STARTS WITH v-",IF(COUNTIF($D:$D,D492)&gt;1,"DUPLICATE STORE SKU",IF(COUNTIFS($A:$A,A492,$B:$B,B492,$C:$C,C492)&gt;1,"DUPLICATE COLOUR + SIZE","OK"))))))</f>
        <v/>
      </c>
    </row>
    <row r="493">
      <c r="A493" s="9" t="n"/>
      <c r="B493" s="9" t="n"/>
      <c r="C493" s="9" t="n"/>
      <c r="D493" s="9" t="n"/>
      <c r="E493" s="11" t="n"/>
      <c r="F493" s="13" t="n"/>
      <c r="G493" s="11" t="n"/>
      <c r="H493" s="13" t="n"/>
      <c r="I493" s="14">
        <f>IF(A493="","",IF(F493&lt;&gt;"",F493,IFERROR(INDEX(Products!$C:$C,MATCH(A493,Products!$A:$A,0)),"")))</f>
        <v/>
      </c>
      <c r="J493" s="14">
        <f>IF(OR(I493="",H493=""),"",I493-H493)</f>
        <v/>
      </c>
      <c r="K493" s="12">
        <f>IF(A493="","",IF(ISNA(MATCH(A493,Products!$A:$A,0)),"NAME NOT IN PRODUCTS",IF(D493="","ADD STORE SKU",IF(LEFT(D493,2)&lt;&gt;"v-","CHECK: STORE SKU STARTS WITH v-",IF(COUNTIF($D:$D,D493)&gt;1,"DUPLICATE STORE SKU",IF(COUNTIFS($A:$A,A493,$B:$B,B493,$C:$C,C493)&gt;1,"DUPLICATE COLOUR + SIZE","OK"))))))</f>
        <v/>
      </c>
    </row>
    <row r="494">
      <c r="A494" s="9" t="n"/>
      <c r="B494" s="9" t="n"/>
      <c r="C494" s="9" t="n"/>
      <c r="D494" s="9" t="n"/>
      <c r="E494" s="11" t="n"/>
      <c r="F494" s="13" t="n"/>
      <c r="G494" s="11" t="n"/>
      <c r="H494" s="13" t="n"/>
      <c r="I494" s="14">
        <f>IF(A494="","",IF(F494&lt;&gt;"",F494,IFERROR(INDEX(Products!$C:$C,MATCH(A494,Products!$A:$A,0)),"")))</f>
        <v/>
      </c>
      <c r="J494" s="14">
        <f>IF(OR(I494="",H494=""),"",I494-H494)</f>
        <v/>
      </c>
      <c r="K494" s="12">
        <f>IF(A494="","",IF(ISNA(MATCH(A494,Products!$A:$A,0)),"NAME NOT IN PRODUCTS",IF(D494="","ADD STORE SKU",IF(LEFT(D494,2)&lt;&gt;"v-","CHECK: STORE SKU STARTS WITH v-",IF(COUNTIF($D:$D,D494)&gt;1,"DUPLICATE STORE SKU",IF(COUNTIFS($A:$A,A494,$B:$B,B494,$C:$C,C494)&gt;1,"DUPLICATE COLOUR + SIZE","OK"))))))</f>
        <v/>
      </c>
    </row>
    <row r="495">
      <c r="A495" s="9" t="n"/>
      <c r="B495" s="9" t="n"/>
      <c r="C495" s="9" t="n"/>
      <c r="D495" s="9" t="n"/>
      <c r="E495" s="11" t="n"/>
      <c r="F495" s="13" t="n"/>
      <c r="G495" s="11" t="n"/>
      <c r="H495" s="13" t="n"/>
      <c r="I495" s="14">
        <f>IF(A495="","",IF(F495&lt;&gt;"",F495,IFERROR(INDEX(Products!$C:$C,MATCH(A495,Products!$A:$A,0)),"")))</f>
        <v/>
      </c>
      <c r="J495" s="14">
        <f>IF(OR(I495="",H495=""),"",I495-H495)</f>
        <v/>
      </c>
      <c r="K495" s="12">
        <f>IF(A495="","",IF(ISNA(MATCH(A495,Products!$A:$A,0)),"NAME NOT IN PRODUCTS",IF(D495="","ADD STORE SKU",IF(LEFT(D495,2)&lt;&gt;"v-","CHECK: STORE SKU STARTS WITH v-",IF(COUNTIF($D:$D,D495)&gt;1,"DUPLICATE STORE SKU",IF(COUNTIFS($A:$A,A495,$B:$B,B495,$C:$C,C495)&gt;1,"DUPLICATE COLOUR + SIZE","OK"))))))</f>
        <v/>
      </c>
    </row>
    <row r="496">
      <c r="A496" s="9" t="n"/>
      <c r="B496" s="9" t="n"/>
      <c r="C496" s="9" t="n"/>
      <c r="D496" s="9" t="n"/>
      <c r="E496" s="11" t="n"/>
      <c r="F496" s="13" t="n"/>
      <c r="G496" s="11" t="n"/>
      <c r="H496" s="13" t="n"/>
      <c r="I496" s="14">
        <f>IF(A496="","",IF(F496&lt;&gt;"",F496,IFERROR(INDEX(Products!$C:$C,MATCH(A496,Products!$A:$A,0)),"")))</f>
        <v/>
      </c>
      <c r="J496" s="14">
        <f>IF(OR(I496="",H496=""),"",I496-H496)</f>
        <v/>
      </c>
      <c r="K496" s="12">
        <f>IF(A496="","",IF(ISNA(MATCH(A496,Products!$A:$A,0)),"NAME NOT IN PRODUCTS",IF(D496="","ADD STORE SKU",IF(LEFT(D496,2)&lt;&gt;"v-","CHECK: STORE SKU STARTS WITH v-",IF(COUNTIF($D:$D,D496)&gt;1,"DUPLICATE STORE SKU",IF(COUNTIFS($A:$A,A496,$B:$B,B496,$C:$C,C496)&gt;1,"DUPLICATE COLOUR + SIZE","OK"))))))</f>
        <v/>
      </c>
    </row>
    <row r="497">
      <c r="A497" s="9" t="n"/>
      <c r="B497" s="9" t="n"/>
      <c r="C497" s="9" t="n"/>
      <c r="D497" s="9" t="n"/>
      <c r="E497" s="11" t="n"/>
      <c r="F497" s="13" t="n"/>
      <c r="G497" s="11" t="n"/>
      <c r="H497" s="13" t="n"/>
      <c r="I497" s="14">
        <f>IF(A497="","",IF(F497&lt;&gt;"",F497,IFERROR(INDEX(Products!$C:$C,MATCH(A497,Products!$A:$A,0)),"")))</f>
        <v/>
      </c>
      <c r="J497" s="14">
        <f>IF(OR(I497="",H497=""),"",I497-H497)</f>
        <v/>
      </c>
      <c r="K497" s="12">
        <f>IF(A497="","",IF(ISNA(MATCH(A497,Products!$A:$A,0)),"NAME NOT IN PRODUCTS",IF(D497="","ADD STORE SKU",IF(LEFT(D497,2)&lt;&gt;"v-","CHECK: STORE SKU STARTS WITH v-",IF(COUNTIF($D:$D,D497)&gt;1,"DUPLICATE STORE SKU",IF(COUNTIFS($A:$A,A497,$B:$B,B497,$C:$C,C497)&gt;1,"DUPLICATE COLOUR + SIZE","OK"))))))</f>
        <v/>
      </c>
    </row>
    <row r="498">
      <c r="A498" s="9" t="n"/>
      <c r="B498" s="9" t="n"/>
      <c r="C498" s="9" t="n"/>
      <c r="D498" s="9" t="n"/>
      <c r="E498" s="11" t="n"/>
      <c r="F498" s="13" t="n"/>
      <c r="G498" s="11" t="n"/>
      <c r="H498" s="13" t="n"/>
      <c r="I498" s="14">
        <f>IF(A498="","",IF(F498&lt;&gt;"",F498,IFERROR(INDEX(Products!$C:$C,MATCH(A498,Products!$A:$A,0)),"")))</f>
        <v/>
      </c>
      <c r="J498" s="14">
        <f>IF(OR(I498="",H498=""),"",I498-H498)</f>
        <v/>
      </c>
      <c r="K498" s="12">
        <f>IF(A498="","",IF(ISNA(MATCH(A498,Products!$A:$A,0)),"NAME NOT IN PRODUCTS",IF(D498="","ADD STORE SKU",IF(LEFT(D498,2)&lt;&gt;"v-","CHECK: STORE SKU STARTS WITH v-",IF(COUNTIF($D:$D,D498)&gt;1,"DUPLICATE STORE SKU",IF(COUNTIFS($A:$A,A498,$B:$B,B498,$C:$C,C498)&gt;1,"DUPLICATE COLOUR + SIZE","OK"))))))</f>
        <v/>
      </c>
    </row>
    <row r="499">
      <c r="A499" s="9" t="n"/>
      <c r="B499" s="9" t="n"/>
      <c r="C499" s="9" t="n"/>
      <c r="D499" s="9" t="n"/>
      <c r="E499" s="11" t="n"/>
      <c r="F499" s="13" t="n"/>
      <c r="G499" s="11" t="n"/>
      <c r="H499" s="13" t="n"/>
      <c r="I499" s="14">
        <f>IF(A499="","",IF(F499&lt;&gt;"",F499,IFERROR(INDEX(Products!$C:$C,MATCH(A499,Products!$A:$A,0)),"")))</f>
        <v/>
      </c>
      <c r="J499" s="14">
        <f>IF(OR(I499="",H499=""),"",I499-H499)</f>
        <v/>
      </c>
      <c r="K499" s="12">
        <f>IF(A499="","",IF(ISNA(MATCH(A499,Products!$A:$A,0)),"NAME NOT IN PRODUCTS",IF(D499="","ADD STORE SKU",IF(LEFT(D499,2)&lt;&gt;"v-","CHECK: STORE SKU STARTS WITH v-",IF(COUNTIF($D:$D,D499)&gt;1,"DUPLICATE STORE SKU",IF(COUNTIFS($A:$A,A499,$B:$B,B499,$C:$C,C499)&gt;1,"DUPLICATE COLOUR + SIZE","OK"))))))</f>
        <v/>
      </c>
    </row>
    <row r="500">
      <c r="A500" s="9" t="n"/>
      <c r="B500" s="9" t="n"/>
      <c r="C500" s="9" t="n"/>
      <c r="D500" s="9" t="n"/>
      <c r="E500" s="11" t="n"/>
      <c r="F500" s="13" t="n"/>
      <c r="G500" s="11" t="n"/>
      <c r="H500" s="13" t="n"/>
      <c r="I500" s="14">
        <f>IF(A500="","",IF(F500&lt;&gt;"",F500,IFERROR(INDEX(Products!$C:$C,MATCH(A500,Products!$A:$A,0)),"")))</f>
        <v/>
      </c>
      <c r="J500" s="14">
        <f>IF(OR(I500="",H500=""),"",I500-H500)</f>
        <v/>
      </c>
      <c r="K500" s="12">
        <f>IF(A500="","",IF(ISNA(MATCH(A500,Products!$A:$A,0)),"NAME NOT IN PRODUCTS",IF(D500="","ADD STORE SKU",IF(LEFT(D500,2)&lt;&gt;"v-","CHECK: STORE SKU STARTS WITH v-",IF(COUNTIF($D:$D,D500)&gt;1,"DUPLICATE STORE SKU",IF(COUNTIFS($A:$A,A500,$B:$B,B500,$C:$C,C500)&gt;1,"DUPLICATE COLOUR + SIZE","OK"))))))</f>
        <v/>
      </c>
    </row>
    <row r="501">
      <c r="A501" s="9" t="n"/>
      <c r="B501" s="9" t="n"/>
      <c r="C501" s="9" t="n"/>
      <c r="D501" s="9" t="n"/>
      <c r="E501" s="11" t="n"/>
      <c r="F501" s="13" t="n"/>
      <c r="G501" s="11" t="n"/>
      <c r="H501" s="13" t="n"/>
      <c r="I501" s="14">
        <f>IF(A501="","",IF(F501&lt;&gt;"",F501,IFERROR(INDEX(Products!$C:$C,MATCH(A501,Products!$A:$A,0)),"")))</f>
        <v/>
      </c>
      <c r="J501" s="14">
        <f>IF(OR(I501="",H501=""),"",I501-H501)</f>
        <v/>
      </c>
      <c r="K501" s="12">
        <f>IF(A501="","",IF(ISNA(MATCH(A501,Products!$A:$A,0)),"NAME NOT IN PRODUCTS",IF(D501="","ADD STORE SKU",IF(LEFT(D501,2)&lt;&gt;"v-","CHECK: STORE SKU STARTS WITH v-",IF(COUNTIF($D:$D,D501)&gt;1,"DUPLICATE STORE SKU",IF(COUNTIFS($A:$A,A501,$B:$B,B501,$C:$C,C501)&gt;1,"DUPLICATE COLOUR + SIZE","OK"))))))</f>
        <v/>
      </c>
    </row>
    <row r="502">
      <c r="A502" s="9" t="n"/>
      <c r="B502" s="9" t="n"/>
      <c r="C502" s="9" t="n"/>
      <c r="D502" s="9" t="n"/>
      <c r="E502" s="11" t="n"/>
      <c r="F502" s="13" t="n"/>
      <c r="G502" s="11" t="n"/>
      <c r="H502" s="13" t="n"/>
      <c r="I502" s="14">
        <f>IF(A502="","",IF(F502&lt;&gt;"",F502,IFERROR(INDEX(Products!$C:$C,MATCH(A502,Products!$A:$A,0)),"")))</f>
        <v/>
      </c>
      <c r="J502" s="14">
        <f>IF(OR(I502="",H502=""),"",I502-H502)</f>
        <v/>
      </c>
      <c r="K502" s="12">
        <f>IF(A502="","",IF(ISNA(MATCH(A502,Products!$A:$A,0)),"NAME NOT IN PRODUCTS",IF(D502="","ADD STORE SKU",IF(LEFT(D502,2)&lt;&gt;"v-","CHECK: STORE SKU STARTS WITH v-",IF(COUNTIF($D:$D,D502)&gt;1,"DUPLICATE STORE SKU",IF(COUNTIFS($A:$A,A502,$B:$B,B502,$C:$C,C502)&gt;1,"DUPLICATE COLOUR + SIZE","OK"))))))</f>
        <v/>
      </c>
    </row>
    <row r="503">
      <c r="A503" s="9" t="n"/>
      <c r="B503" s="9" t="n"/>
      <c r="C503" s="9" t="n"/>
      <c r="D503" s="9" t="n"/>
      <c r="E503" s="11" t="n"/>
      <c r="F503" s="13" t="n"/>
      <c r="G503" s="11" t="n"/>
      <c r="H503" s="13" t="n"/>
      <c r="I503" s="14">
        <f>IF(A503="","",IF(F503&lt;&gt;"",F503,IFERROR(INDEX(Products!$C:$C,MATCH(A503,Products!$A:$A,0)),"")))</f>
        <v/>
      </c>
      <c r="J503" s="14">
        <f>IF(OR(I503="",H503=""),"",I503-H503)</f>
        <v/>
      </c>
      <c r="K503" s="12">
        <f>IF(A503="","",IF(ISNA(MATCH(A503,Products!$A:$A,0)),"NAME NOT IN PRODUCTS",IF(D503="","ADD STORE SKU",IF(LEFT(D503,2)&lt;&gt;"v-","CHECK: STORE SKU STARTS WITH v-",IF(COUNTIF($D:$D,D503)&gt;1,"DUPLICATE STORE SKU",IF(COUNTIFS($A:$A,A503,$B:$B,B503,$C:$C,C503)&gt;1,"DUPLICATE COLOUR + SIZE","OK"))))))</f>
        <v/>
      </c>
    </row>
    <row r="504">
      <c r="A504" s="9" t="n"/>
      <c r="B504" s="9" t="n"/>
      <c r="C504" s="9" t="n"/>
      <c r="D504" s="9" t="n"/>
      <c r="E504" s="11" t="n"/>
      <c r="F504" s="13" t="n"/>
      <c r="G504" s="11" t="n"/>
      <c r="H504" s="13" t="n"/>
      <c r="I504" s="14">
        <f>IF(A504="","",IF(F504&lt;&gt;"",F504,IFERROR(INDEX(Products!$C:$C,MATCH(A504,Products!$A:$A,0)),"")))</f>
        <v/>
      </c>
      <c r="J504" s="14">
        <f>IF(OR(I504="",H504=""),"",I504-H504)</f>
        <v/>
      </c>
      <c r="K504" s="12">
        <f>IF(A504="","",IF(ISNA(MATCH(A504,Products!$A:$A,0)),"NAME NOT IN PRODUCTS",IF(D504="","ADD STORE SKU",IF(LEFT(D504,2)&lt;&gt;"v-","CHECK: STORE SKU STARTS WITH v-",IF(COUNTIF($D:$D,D504)&gt;1,"DUPLICATE STORE SKU",IF(COUNTIFS($A:$A,A504,$B:$B,B504,$C:$C,C504)&gt;1,"DUPLICATE COLOUR + SIZE","OK"))))))</f>
        <v/>
      </c>
    </row>
    <row r="505">
      <c r="A505" s="9" t="n"/>
      <c r="B505" s="9" t="n"/>
      <c r="C505" s="9" t="n"/>
      <c r="D505" s="9" t="n"/>
      <c r="E505" s="11" t="n"/>
      <c r="F505" s="13" t="n"/>
      <c r="G505" s="11" t="n"/>
      <c r="H505" s="13" t="n"/>
      <c r="I505" s="14">
        <f>IF(A505="","",IF(F505&lt;&gt;"",F505,IFERROR(INDEX(Products!$C:$C,MATCH(A505,Products!$A:$A,0)),"")))</f>
        <v/>
      </c>
      <c r="J505" s="14">
        <f>IF(OR(I505="",H505=""),"",I505-H505)</f>
        <v/>
      </c>
      <c r="K505" s="12">
        <f>IF(A505="","",IF(ISNA(MATCH(A505,Products!$A:$A,0)),"NAME NOT IN PRODUCTS",IF(D505="","ADD STORE SKU",IF(LEFT(D505,2)&lt;&gt;"v-","CHECK: STORE SKU STARTS WITH v-",IF(COUNTIF($D:$D,D505)&gt;1,"DUPLICATE STORE SKU",IF(COUNTIFS($A:$A,A505,$B:$B,B505,$C:$C,C505)&gt;1,"DUPLICATE COLOUR + SIZE","OK"))))))</f>
        <v/>
      </c>
    </row>
    <row r="506">
      <c r="A506" s="9" t="n"/>
      <c r="B506" s="9" t="n"/>
      <c r="C506" s="9" t="n"/>
      <c r="D506" s="9" t="n"/>
      <c r="E506" s="11" t="n"/>
      <c r="F506" s="13" t="n"/>
      <c r="G506" s="11" t="n"/>
      <c r="H506" s="13" t="n"/>
      <c r="I506" s="14">
        <f>IF(A506="","",IF(F506&lt;&gt;"",F506,IFERROR(INDEX(Products!$C:$C,MATCH(A506,Products!$A:$A,0)),"")))</f>
        <v/>
      </c>
      <c r="J506" s="14">
        <f>IF(OR(I506="",H506=""),"",I506-H506)</f>
        <v/>
      </c>
      <c r="K506" s="12">
        <f>IF(A506="","",IF(ISNA(MATCH(A506,Products!$A:$A,0)),"NAME NOT IN PRODUCTS",IF(D506="","ADD STORE SKU",IF(LEFT(D506,2)&lt;&gt;"v-","CHECK: STORE SKU STARTS WITH v-",IF(COUNTIF($D:$D,D506)&gt;1,"DUPLICATE STORE SKU",IF(COUNTIFS($A:$A,A506,$B:$B,B506,$C:$C,C506)&gt;1,"DUPLICATE COLOUR + SIZE","OK"))))))</f>
        <v/>
      </c>
    </row>
    <row r="507">
      <c r="A507" s="9" t="n"/>
      <c r="B507" s="9" t="n"/>
      <c r="C507" s="9" t="n"/>
      <c r="D507" s="9" t="n"/>
      <c r="E507" s="11" t="n"/>
      <c r="F507" s="13" t="n"/>
      <c r="G507" s="11" t="n"/>
      <c r="H507" s="13" t="n"/>
      <c r="I507" s="14">
        <f>IF(A507="","",IF(F507&lt;&gt;"",F507,IFERROR(INDEX(Products!$C:$C,MATCH(A507,Products!$A:$A,0)),"")))</f>
        <v/>
      </c>
      <c r="J507" s="14">
        <f>IF(OR(I507="",H507=""),"",I507-H507)</f>
        <v/>
      </c>
      <c r="K507" s="12">
        <f>IF(A507="","",IF(ISNA(MATCH(A507,Products!$A:$A,0)),"NAME NOT IN PRODUCTS",IF(D507="","ADD STORE SKU",IF(LEFT(D507,2)&lt;&gt;"v-","CHECK: STORE SKU STARTS WITH v-",IF(COUNTIF($D:$D,D507)&gt;1,"DUPLICATE STORE SKU",IF(COUNTIFS($A:$A,A507,$B:$B,B507,$C:$C,C507)&gt;1,"DUPLICATE COLOUR + SIZE","OK"))))))</f>
        <v/>
      </c>
    </row>
    <row r="508">
      <c r="A508" s="9" t="n"/>
      <c r="B508" s="9" t="n"/>
      <c r="C508" s="9" t="n"/>
      <c r="D508" s="9" t="n"/>
      <c r="E508" s="11" t="n"/>
      <c r="F508" s="13" t="n"/>
      <c r="G508" s="11" t="n"/>
      <c r="H508" s="13" t="n"/>
      <c r="I508" s="14">
        <f>IF(A508="","",IF(F508&lt;&gt;"",F508,IFERROR(INDEX(Products!$C:$C,MATCH(A508,Products!$A:$A,0)),"")))</f>
        <v/>
      </c>
      <c r="J508" s="14">
        <f>IF(OR(I508="",H508=""),"",I508-H508)</f>
        <v/>
      </c>
      <c r="K508" s="12">
        <f>IF(A508="","",IF(ISNA(MATCH(A508,Products!$A:$A,0)),"NAME NOT IN PRODUCTS",IF(D508="","ADD STORE SKU",IF(LEFT(D508,2)&lt;&gt;"v-","CHECK: STORE SKU STARTS WITH v-",IF(COUNTIF($D:$D,D508)&gt;1,"DUPLICATE STORE SKU",IF(COUNTIFS($A:$A,A508,$B:$B,B508,$C:$C,C508)&gt;1,"DUPLICATE COLOUR + SIZE","OK"))))))</f>
        <v/>
      </c>
    </row>
    <row r="509">
      <c r="A509" s="9" t="n"/>
      <c r="B509" s="9" t="n"/>
      <c r="C509" s="9" t="n"/>
      <c r="D509" s="9" t="n"/>
      <c r="E509" s="11" t="n"/>
      <c r="F509" s="13" t="n"/>
      <c r="G509" s="11" t="n"/>
      <c r="H509" s="13" t="n"/>
      <c r="I509" s="14">
        <f>IF(A509="","",IF(F509&lt;&gt;"",F509,IFERROR(INDEX(Products!$C:$C,MATCH(A509,Products!$A:$A,0)),"")))</f>
        <v/>
      </c>
      <c r="J509" s="14">
        <f>IF(OR(I509="",H509=""),"",I509-H509)</f>
        <v/>
      </c>
      <c r="K509" s="12">
        <f>IF(A509="","",IF(ISNA(MATCH(A509,Products!$A:$A,0)),"NAME NOT IN PRODUCTS",IF(D509="","ADD STORE SKU",IF(LEFT(D509,2)&lt;&gt;"v-","CHECK: STORE SKU STARTS WITH v-",IF(COUNTIF($D:$D,D509)&gt;1,"DUPLICATE STORE SKU",IF(COUNTIFS($A:$A,A509,$B:$B,B509,$C:$C,C509)&gt;1,"DUPLICATE COLOUR + SIZE","OK"))))))</f>
        <v/>
      </c>
    </row>
    <row r="510">
      <c r="A510" s="9" t="n"/>
      <c r="B510" s="9" t="n"/>
      <c r="C510" s="9" t="n"/>
      <c r="D510" s="9" t="n"/>
      <c r="E510" s="11" t="n"/>
      <c r="F510" s="13" t="n"/>
      <c r="G510" s="11" t="n"/>
      <c r="H510" s="13" t="n"/>
      <c r="I510" s="14">
        <f>IF(A510="","",IF(F510&lt;&gt;"",F510,IFERROR(INDEX(Products!$C:$C,MATCH(A510,Products!$A:$A,0)),"")))</f>
        <v/>
      </c>
      <c r="J510" s="14">
        <f>IF(OR(I510="",H510=""),"",I510-H510)</f>
        <v/>
      </c>
      <c r="K510" s="12">
        <f>IF(A510="","",IF(ISNA(MATCH(A510,Products!$A:$A,0)),"NAME NOT IN PRODUCTS",IF(D510="","ADD STORE SKU",IF(LEFT(D510,2)&lt;&gt;"v-","CHECK: STORE SKU STARTS WITH v-",IF(COUNTIF($D:$D,D510)&gt;1,"DUPLICATE STORE SKU",IF(COUNTIFS($A:$A,A510,$B:$B,B510,$C:$C,C510)&gt;1,"DUPLICATE COLOUR + SIZE","OK"))))))</f>
        <v/>
      </c>
    </row>
    <row r="511">
      <c r="A511" s="9" t="n"/>
      <c r="B511" s="9" t="n"/>
      <c r="C511" s="9" t="n"/>
      <c r="D511" s="9" t="n"/>
      <c r="E511" s="11" t="n"/>
      <c r="F511" s="13" t="n"/>
      <c r="G511" s="11" t="n"/>
      <c r="H511" s="13" t="n"/>
      <c r="I511" s="14">
        <f>IF(A511="","",IF(F511&lt;&gt;"",F511,IFERROR(INDEX(Products!$C:$C,MATCH(A511,Products!$A:$A,0)),"")))</f>
        <v/>
      </c>
      <c r="J511" s="14">
        <f>IF(OR(I511="",H511=""),"",I511-H511)</f>
        <v/>
      </c>
      <c r="K511" s="12">
        <f>IF(A511="","",IF(ISNA(MATCH(A511,Products!$A:$A,0)),"NAME NOT IN PRODUCTS",IF(D511="","ADD STORE SKU",IF(LEFT(D511,2)&lt;&gt;"v-","CHECK: STORE SKU STARTS WITH v-",IF(COUNTIF($D:$D,D511)&gt;1,"DUPLICATE STORE SKU",IF(COUNTIFS($A:$A,A511,$B:$B,B511,$C:$C,C511)&gt;1,"DUPLICATE COLOUR + SIZE","OK"))))))</f>
        <v/>
      </c>
    </row>
    <row r="512">
      <c r="A512" s="9" t="n"/>
      <c r="B512" s="9" t="n"/>
      <c r="C512" s="9" t="n"/>
      <c r="D512" s="9" t="n"/>
      <c r="E512" s="11" t="n"/>
      <c r="F512" s="13" t="n"/>
      <c r="G512" s="11" t="n"/>
      <c r="H512" s="13" t="n"/>
      <c r="I512" s="14">
        <f>IF(A512="","",IF(F512&lt;&gt;"",F512,IFERROR(INDEX(Products!$C:$C,MATCH(A512,Products!$A:$A,0)),"")))</f>
        <v/>
      </c>
      <c r="J512" s="14">
        <f>IF(OR(I512="",H512=""),"",I512-H512)</f>
        <v/>
      </c>
      <c r="K512" s="12">
        <f>IF(A512="","",IF(ISNA(MATCH(A512,Products!$A:$A,0)),"NAME NOT IN PRODUCTS",IF(D512="","ADD STORE SKU",IF(LEFT(D512,2)&lt;&gt;"v-","CHECK: STORE SKU STARTS WITH v-",IF(COUNTIF($D:$D,D512)&gt;1,"DUPLICATE STORE SKU",IF(COUNTIFS($A:$A,A512,$B:$B,B512,$C:$C,C512)&gt;1,"DUPLICATE COLOUR + SIZE","OK"))))))</f>
        <v/>
      </c>
    </row>
    <row r="513">
      <c r="A513" s="9" t="n"/>
      <c r="B513" s="9" t="n"/>
      <c r="C513" s="9" t="n"/>
      <c r="D513" s="9" t="n"/>
      <c r="E513" s="11" t="n"/>
      <c r="F513" s="13" t="n"/>
      <c r="G513" s="11" t="n"/>
      <c r="H513" s="13" t="n"/>
      <c r="I513" s="14">
        <f>IF(A513="","",IF(F513&lt;&gt;"",F513,IFERROR(INDEX(Products!$C:$C,MATCH(A513,Products!$A:$A,0)),"")))</f>
        <v/>
      </c>
      <c r="J513" s="14">
        <f>IF(OR(I513="",H513=""),"",I513-H513)</f>
        <v/>
      </c>
      <c r="K513" s="12">
        <f>IF(A513="","",IF(ISNA(MATCH(A513,Products!$A:$A,0)),"NAME NOT IN PRODUCTS",IF(D513="","ADD STORE SKU",IF(LEFT(D513,2)&lt;&gt;"v-","CHECK: STORE SKU STARTS WITH v-",IF(COUNTIF($D:$D,D513)&gt;1,"DUPLICATE STORE SKU",IF(COUNTIFS($A:$A,A513,$B:$B,B513,$C:$C,C513)&gt;1,"DUPLICATE COLOUR + SIZE","OK"))))))</f>
        <v/>
      </c>
    </row>
    <row r="514">
      <c r="A514" s="9" t="n"/>
      <c r="B514" s="9" t="n"/>
      <c r="C514" s="9" t="n"/>
      <c r="D514" s="9" t="n"/>
      <c r="E514" s="11" t="n"/>
      <c r="F514" s="13" t="n"/>
      <c r="G514" s="11" t="n"/>
      <c r="H514" s="13" t="n"/>
      <c r="I514" s="14">
        <f>IF(A514="","",IF(F514&lt;&gt;"",F514,IFERROR(INDEX(Products!$C:$C,MATCH(A514,Products!$A:$A,0)),"")))</f>
        <v/>
      </c>
      <c r="J514" s="14">
        <f>IF(OR(I514="",H514=""),"",I514-H514)</f>
        <v/>
      </c>
      <c r="K514" s="12">
        <f>IF(A514="","",IF(ISNA(MATCH(A514,Products!$A:$A,0)),"NAME NOT IN PRODUCTS",IF(D514="","ADD STORE SKU",IF(LEFT(D514,2)&lt;&gt;"v-","CHECK: STORE SKU STARTS WITH v-",IF(COUNTIF($D:$D,D514)&gt;1,"DUPLICATE STORE SKU",IF(COUNTIFS($A:$A,A514,$B:$B,B514,$C:$C,C514)&gt;1,"DUPLICATE COLOUR + SIZE","OK"))))))</f>
        <v/>
      </c>
    </row>
    <row r="515">
      <c r="A515" s="9" t="n"/>
      <c r="B515" s="9" t="n"/>
      <c r="C515" s="9" t="n"/>
      <c r="D515" s="9" t="n"/>
      <c r="E515" s="11" t="n"/>
      <c r="F515" s="13" t="n"/>
      <c r="G515" s="11" t="n"/>
      <c r="H515" s="13" t="n"/>
      <c r="I515" s="14">
        <f>IF(A515="","",IF(F515&lt;&gt;"",F515,IFERROR(INDEX(Products!$C:$C,MATCH(A515,Products!$A:$A,0)),"")))</f>
        <v/>
      </c>
      <c r="J515" s="14">
        <f>IF(OR(I515="",H515=""),"",I515-H515)</f>
        <v/>
      </c>
      <c r="K515" s="12">
        <f>IF(A515="","",IF(ISNA(MATCH(A515,Products!$A:$A,0)),"NAME NOT IN PRODUCTS",IF(D515="","ADD STORE SKU",IF(LEFT(D515,2)&lt;&gt;"v-","CHECK: STORE SKU STARTS WITH v-",IF(COUNTIF($D:$D,D515)&gt;1,"DUPLICATE STORE SKU",IF(COUNTIFS($A:$A,A515,$B:$B,B515,$C:$C,C515)&gt;1,"DUPLICATE COLOUR + SIZE","OK"))))))</f>
        <v/>
      </c>
    </row>
    <row r="516">
      <c r="A516" s="9" t="n"/>
      <c r="B516" s="9" t="n"/>
      <c r="C516" s="9" t="n"/>
      <c r="D516" s="9" t="n"/>
      <c r="E516" s="11" t="n"/>
      <c r="F516" s="13" t="n"/>
      <c r="G516" s="11" t="n"/>
      <c r="H516" s="13" t="n"/>
      <c r="I516" s="14">
        <f>IF(A516="","",IF(F516&lt;&gt;"",F516,IFERROR(INDEX(Products!$C:$C,MATCH(A516,Products!$A:$A,0)),"")))</f>
        <v/>
      </c>
      <c r="J516" s="14">
        <f>IF(OR(I516="",H516=""),"",I516-H516)</f>
        <v/>
      </c>
      <c r="K516" s="12">
        <f>IF(A516="","",IF(ISNA(MATCH(A516,Products!$A:$A,0)),"NAME NOT IN PRODUCTS",IF(D516="","ADD STORE SKU",IF(LEFT(D516,2)&lt;&gt;"v-","CHECK: STORE SKU STARTS WITH v-",IF(COUNTIF($D:$D,D516)&gt;1,"DUPLICATE STORE SKU",IF(COUNTIFS($A:$A,A516,$B:$B,B516,$C:$C,C516)&gt;1,"DUPLICATE COLOUR + SIZE","OK"))))))</f>
        <v/>
      </c>
    </row>
    <row r="517">
      <c r="A517" s="9" t="n"/>
      <c r="B517" s="9" t="n"/>
      <c r="C517" s="9" t="n"/>
      <c r="D517" s="9" t="n"/>
      <c r="E517" s="11" t="n"/>
      <c r="F517" s="13" t="n"/>
      <c r="G517" s="11" t="n"/>
      <c r="H517" s="13" t="n"/>
      <c r="I517" s="14">
        <f>IF(A517="","",IF(F517&lt;&gt;"",F517,IFERROR(INDEX(Products!$C:$C,MATCH(A517,Products!$A:$A,0)),"")))</f>
        <v/>
      </c>
      <c r="J517" s="14">
        <f>IF(OR(I517="",H517=""),"",I517-H517)</f>
        <v/>
      </c>
      <c r="K517" s="12">
        <f>IF(A517="","",IF(ISNA(MATCH(A517,Products!$A:$A,0)),"NAME NOT IN PRODUCTS",IF(D517="","ADD STORE SKU",IF(LEFT(D517,2)&lt;&gt;"v-","CHECK: STORE SKU STARTS WITH v-",IF(COUNTIF($D:$D,D517)&gt;1,"DUPLICATE STORE SKU",IF(COUNTIFS($A:$A,A517,$B:$B,B517,$C:$C,C517)&gt;1,"DUPLICATE COLOUR + SIZE","OK"))))))</f>
        <v/>
      </c>
    </row>
    <row r="518">
      <c r="A518" s="9" t="n"/>
      <c r="B518" s="9" t="n"/>
      <c r="C518" s="9" t="n"/>
      <c r="D518" s="9" t="n"/>
      <c r="E518" s="11" t="n"/>
      <c r="F518" s="13" t="n"/>
      <c r="G518" s="11" t="n"/>
      <c r="H518" s="13" t="n"/>
      <c r="I518" s="14">
        <f>IF(A518="","",IF(F518&lt;&gt;"",F518,IFERROR(INDEX(Products!$C:$C,MATCH(A518,Products!$A:$A,0)),"")))</f>
        <v/>
      </c>
      <c r="J518" s="14">
        <f>IF(OR(I518="",H518=""),"",I518-H518)</f>
        <v/>
      </c>
      <c r="K518" s="12">
        <f>IF(A518="","",IF(ISNA(MATCH(A518,Products!$A:$A,0)),"NAME NOT IN PRODUCTS",IF(D518="","ADD STORE SKU",IF(LEFT(D518,2)&lt;&gt;"v-","CHECK: STORE SKU STARTS WITH v-",IF(COUNTIF($D:$D,D518)&gt;1,"DUPLICATE STORE SKU",IF(COUNTIFS($A:$A,A518,$B:$B,B518,$C:$C,C518)&gt;1,"DUPLICATE COLOUR + SIZE","OK"))))))</f>
        <v/>
      </c>
    </row>
    <row r="519">
      <c r="A519" s="9" t="n"/>
      <c r="B519" s="9" t="n"/>
      <c r="C519" s="9" t="n"/>
      <c r="D519" s="9" t="n"/>
      <c r="E519" s="11" t="n"/>
      <c r="F519" s="13" t="n"/>
      <c r="G519" s="11" t="n"/>
      <c r="H519" s="13" t="n"/>
      <c r="I519" s="14">
        <f>IF(A519="","",IF(F519&lt;&gt;"",F519,IFERROR(INDEX(Products!$C:$C,MATCH(A519,Products!$A:$A,0)),"")))</f>
        <v/>
      </c>
      <c r="J519" s="14">
        <f>IF(OR(I519="",H519=""),"",I519-H519)</f>
        <v/>
      </c>
      <c r="K519" s="12">
        <f>IF(A519="","",IF(ISNA(MATCH(A519,Products!$A:$A,0)),"NAME NOT IN PRODUCTS",IF(D519="","ADD STORE SKU",IF(LEFT(D519,2)&lt;&gt;"v-","CHECK: STORE SKU STARTS WITH v-",IF(COUNTIF($D:$D,D519)&gt;1,"DUPLICATE STORE SKU",IF(COUNTIFS($A:$A,A519,$B:$B,B519,$C:$C,C519)&gt;1,"DUPLICATE COLOUR + SIZE","OK"))))))</f>
        <v/>
      </c>
    </row>
    <row r="520">
      <c r="A520" s="9" t="n"/>
      <c r="B520" s="9" t="n"/>
      <c r="C520" s="9" t="n"/>
      <c r="D520" s="9" t="n"/>
      <c r="E520" s="11" t="n"/>
      <c r="F520" s="13" t="n"/>
      <c r="G520" s="11" t="n"/>
      <c r="H520" s="13" t="n"/>
      <c r="I520" s="14">
        <f>IF(A520="","",IF(F520&lt;&gt;"",F520,IFERROR(INDEX(Products!$C:$C,MATCH(A520,Products!$A:$A,0)),"")))</f>
        <v/>
      </c>
      <c r="J520" s="14">
        <f>IF(OR(I520="",H520=""),"",I520-H520)</f>
        <v/>
      </c>
      <c r="K520" s="12">
        <f>IF(A520="","",IF(ISNA(MATCH(A520,Products!$A:$A,0)),"NAME NOT IN PRODUCTS",IF(D520="","ADD STORE SKU",IF(LEFT(D520,2)&lt;&gt;"v-","CHECK: STORE SKU STARTS WITH v-",IF(COUNTIF($D:$D,D520)&gt;1,"DUPLICATE STORE SKU",IF(COUNTIFS($A:$A,A520,$B:$B,B520,$C:$C,C520)&gt;1,"DUPLICATE COLOUR + SIZE","OK"))))))</f>
        <v/>
      </c>
    </row>
    <row r="521">
      <c r="A521" s="9" t="n"/>
      <c r="B521" s="9" t="n"/>
      <c r="C521" s="9" t="n"/>
      <c r="D521" s="9" t="n"/>
      <c r="E521" s="11" t="n"/>
      <c r="F521" s="13" t="n"/>
      <c r="G521" s="11" t="n"/>
      <c r="H521" s="13" t="n"/>
      <c r="I521" s="14">
        <f>IF(A521="","",IF(F521&lt;&gt;"",F521,IFERROR(INDEX(Products!$C:$C,MATCH(A521,Products!$A:$A,0)),"")))</f>
        <v/>
      </c>
      <c r="J521" s="14">
        <f>IF(OR(I521="",H521=""),"",I521-H521)</f>
        <v/>
      </c>
      <c r="K521" s="12">
        <f>IF(A521="","",IF(ISNA(MATCH(A521,Products!$A:$A,0)),"NAME NOT IN PRODUCTS",IF(D521="","ADD STORE SKU",IF(LEFT(D521,2)&lt;&gt;"v-","CHECK: STORE SKU STARTS WITH v-",IF(COUNTIF($D:$D,D521)&gt;1,"DUPLICATE STORE SKU",IF(COUNTIFS($A:$A,A521,$B:$B,B521,$C:$C,C521)&gt;1,"DUPLICATE COLOUR + SIZE","OK"))))))</f>
        <v/>
      </c>
    </row>
    <row r="522">
      <c r="A522" s="9" t="n"/>
      <c r="B522" s="9" t="n"/>
      <c r="C522" s="9" t="n"/>
      <c r="D522" s="9" t="n"/>
      <c r="E522" s="11" t="n"/>
      <c r="F522" s="13" t="n"/>
      <c r="G522" s="11" t="n"/>
      <c r="H522" s="13" t="n"/>
      <c r="I522" s="14">
        <f>IF(A522="","",IF(F522&lt;&gt;"",F522,IFERROR(INDEX(Products!$C:$C,MATCH(A522,Products!$A:$A,0)),"")))</f>
        <v/>
      </c>
      <c r="J522" s="14">
        <f>IF(OR(I522="",H522=""),"",I522-H522)</f>
        <v/>
      </c>
      <c r="K522" s="12">
        <f>IF(A522="","",IF(ISNA(MATCH(A522,Products!$A:$A,0)),"NAME NOT IN PRODUCTS",IF(D522="","ADD STORE SKU",IF(LEFT(D522,2)&lt;&gt;"v-","CHECK: STORE SKU STARTS WITH v-",IF(COUNTIF($D:$D,D522)&gt;1,"DUPLICATE STORE SKU",IF(COUNTIFS($A:$A,A522,$B:$B,B522,$C:$C,C522)&gt;1,"DUPLICATE COLOUR + SIZE","OK"))))))</f>
        <v/>
      </c>
    </row>
    <row r="523">
      <c r="A523" s="9" t="n"/>
      <c r="B523" s="9" t="n"/>
      <c r="C523" s="9" t="n"/>
      <c r="D523" s="9" t="n"/>
      <c r="E523" s="11" t="n"/>
      <c r="F523" s="13" t="n"/>
      <c r="G523" s="11" t="n"/>
      <c r="H523" s="13" t="n"/>
      <c r="I523" s="14">
        <f>IF(A523="","",IF(F523&lt;&gt;"",F523,IFERROR(INDEX(Products!$C:$C,MATCH(A523,Products!$A:$A,0)),"")))</f>
        <v/>
      </c>
      <c r="J523" s="14">
        <f>IF(OR(I523="",H523=""),"",I523-H523)</f>
        <v/>
      </c>
      <c r="K523" s="12">
        <f>IF(A523="","",IF(ISNA(MATCH(A523,Products!$A:$A,0)),"NAME NOT IN PRODUCTS",IF(D523="","ADD STORE SKU",IF(LEFT(D523,2)&lt;&gt;"v-","CHECK: STORE SKU STARTS WITH v-",IF(COUNTIF($D:$D,D523)&gt;1,"DUPLICATE STORE SKU",IF(COUNTIFS($A:$A,A523,$B:$B,B523,$C:$C,C523)&gt;1,"DUPLICATE COLOUR + SIZE","OK"))))))</f>
        <v/>
      </c>
    </row>
    <row r="524">
      <c r="A524" s="9" t="n"/>
      <c r="B524" s="9" t="n"/>
      <c r="C524" s="9" t="n"/>
      <c r="D524" s="9" t="n"/>
      <c r="E524" s="11" t="n"/>
      <c r="F524" s="13" t="n"/>
      <c r="G524" s="11" t="n"/>
      <c r="H524" s="13" t="n"/>
      <c r="I524" s="14">
        <f>IF(A524="","",IF(F524&lt;&gt;"",F524,IFERROR(INDEX(Products!$C:$C,MATCH(A524,Products!$A:$A,0)),"")))</f>
        <v/>
      </c>
      <c r="J524" s="14">
        <f>IF(OR(I524="",H524=""),"",I524-H524)</f>
        <v/>
      </c>
      <c r="K524" s="12">
        <f>IF(A524="","",IF(ISNA(MATCH(A524,Products!$A:$A,0)),"NAME NOT IN PRODUCTS",IF(D524="","ADD STORE SKU",IF(LEFT(D524,2)&lt;&gt;"v-","CHECK: STORE SKU STARTS WITH v-",IF(COUNTIF($D:$D,D524)&gt;1,"DUPLICATE STORE SKU",IF(COUNTIFS($A:$A,A524,$B:$B,B524,$C:$C,C524)&gt;1,"DUPLICATE COLOUR + SIZE","OK"))))))</f>
        <v/>
      </c>
    </row>
    <row r="525">
      <c r="A525" s="9" t="n"/>
      <c r="B525" s="9" t="n"/>
      <c r="C525" s="9" t="n"/>
      <c r="D525" s="9" t="n"/>
      <c r="E525" s="11" t="n"/>
      <c r="F525" s="13" t="n"/>
      <c r="G525" s="11" t="n"/>
      <c r="H525" s="13" t="n"/>
      <c r="I525" s="14">
        <f>IF(A525="","",IF(F525&lt;&gt;"",F525,IFERROR(INDEX(Products!$C:$C,MATCH(A525,Products!$A:$A,0)),"")))</f>
        <v/>
      </c>
      <c r="J525" s="14">
        <f>IF(OR(I525="",H525=""),"",I525-H525)</f>
        <v/>
      </c>
      <c r="K525" s="12">
        <f>IF(A525="","",IF(ISNA(MATCH(A525,Products!$A:$A,0)),"NAME NOT IN PRODUCTS",IF(D525="","ADD STORE SKU",IF(LEFT(D525,2)&lt;&gt;"v-","CHECK: STORE SKU STARTS WITH v-",IF(COUNTIF($D:$D,D525)&gt;1,"DUPLICATE STORE SKU",IF(COUNTIFS($A:$A,A525,$B:$B,B525,$C:$C,C525)&gt;1,"DUPLICATE COLOUR + SIZE","OK"))))))</f>
        <v/>
      </c>
    </row>
    <row r="526">
      <c r="A526" s="9" t="n"/>
      <c r="B526" s="9" t="n"/>
      <c r="C526" s="9" t="n"/>
      <c r="D526" s="9" t="n"/>
      <c r="E526" s="11" t="n"/>
      <c r="F526" s="13" t="n"/>
      <c r="G526" s="11" t="n"/>
      <c r="H526" s="13" t="n"/>
      <c r="I526" s="14">
        <f>IF(A526="","",IF(F526&lt;&gt;"",F526,IFERROR(INDEX(Products!$C:$C,MATCH(A526,Products!$A:$A,0)),"")))</f>
        <v/>
      </c>
      <c r="J526" s="14">
        <f>IF(OR(I526="",H526=""),"",I526-H526)</f>
        <v/>
      </c>
      <c r="K526" s="12">
        <f>IF(A526="","",IF(ISNA(MATCH(A526,Products!$A:$A,0)),"NAME NOT IN PRODUCTS",IF(D526="","ADD STORE SKU",IF(LEFT(D526,2)&lt;&gt;"v-","CHECK: STORE SKU STARTS WITH v-",IF(COUNTIF($D:$D,D526)&gt;1,"DUPLICATE STORE SKU",IF(COUNTIFS($A:$A,A526,$B:$B,B526,$C:$C,C526)&gt;1,"DUPLICATE COLOUR + SIZE","OK"))))))</f>
        <v/>
      </c>
    </row>
    <row r="527">
      <c r="A527" s="9" t="n"/>
      <c r="B527" s="9" t="n"/>
      <c r="C527" s="9" t="n"/>
      <c r="D527" s="9" t="n"/>
      <c r="E527" s="11" t="n"/>
      <c r="F527" s="13" t="n"/>
      <c r="G527" s="11" t="n"/>
      <c r="H527" s="13" t="n"/>
      <c r="I527" s="14">
        <f>IF(A527="","",IF(F527&lt;&gt;"",F527,IFERROR(INDEX(Products!$C:$C,MATCH(A527,Products!$A:$A,0)),"")))</f>
        <v/>
      </c>
      <c r="J527" s="14">
        <f>IF(OR(I527="",H527=""),"",I527-H527)</f>
        <v/>
      </c>
      <c r="K527" s="12">
        <f>IF(A527="","",IF(ISNA(MATCH(A527,Products!$A:$A,0)),"NAME NOT IN PRODUCTS",IF(D527="","ADD STORE SKU",IF(LEFT(D527,2)&lt;&gt;"v-","CHECK: STORE SKU STARTS WITH v-",IF(COUNTIF($D:$D,D527)&gt;1,"DUPLICATE STORE SKU",IF(COUNTIFS($A:$A,A527,$B:$B,B527,$C:$C,C527)&gt;1,"DUPLICATE COLOUR + SIZE","OK"))))))</f>
        <v/>
      </c>
    </row>
    <row r="528">
      <c r="A528" s="9" t="n"/>
      <c r="B528" s="9" t="n"/>
      <c r="C528" s="9" t="n"/>
      <c r="D528" s="9" t="n"/>
      <c r="E528" s="11" t="n"/>
      <c r="F528" s="13" t="n"/>
      <c r="G528" s="11" t="n"/>
      <c r="H528" s="13" t="n"/>
      <c r="I528" s="14">
        <f>IF(A528="","",IF(F528&lt;&gt;"",F528,IFERROR(INDEX(Products!$C:$C,MATCH(A528,Products!$A:$A,0)),"")))</f>
        <v/>
      </c>
      <c r="J528" s="14">
        <f>IF(OR(I528="",H528=""),"",I528-H528)</f>
        <v/>
      </c>
      <c r="K528" s="12">
        <f>IF(A528="","",IF(ISNA(MATCH(A528,Products!$A:$A,0)),"NAME NOT IN PRODUCTS",IF(D528="","ADD STORE SKU",IF(LEFT(D528,2)&lt;&gt;"v-","CHECK: STORE SKU STARTS WITH v-",IF(COUNTIF($D:$D,D528)&gt;1,"DUPLICATE STORE SKU",IF(COUNTIFS($A:$A,A528,$B:$B,B528,$C:$C,C528)&gt;1,"DUPLICATE COLOUR + SIZE","OK"))))))</f>
        <v/>
      </c>
    </row>
    <row r="529">
      <c r="A529" s="9" t="n"/>
      <c r="B529" s="9" t="n"/>
      <c r="C529" s="9" t="n"/>
      <c r="D529" s="9" t="n"/>
      <c r="E529" s="11" t="n"/>
      <c r="F529" s="13" t="n"/>
      <c r="G529" s="11" t="n"/>
      <c r="H529" s="13" t="n"/>
      <c r="I529" s="14">
        <f>IF(A529="","",IF(F529&lt;&gt;"",F529,IFERROR(INDEX(Products!$C:$C,MATCH(A529,Products!$A:$A,0)),"")))</f>
        <v/>
      </c>
      <c r="J529" s="14">
        <f>IF(OR(I529="",H529=""),"",I529-H529)</f>
        <v/>
      </c>
      <c r="K529" s="12">
        <f>IF(A529="","",IF(ISNA(MATCH(A529,Products!$A:$A,0)),"NAME NOT IN PRODUCTS",IF(D529="","ADD STORE SKU",IF(LEFT(D529,2)&lt;&gt;"v-","CHECK: STORE SKU STARTS WITH v-",IF(COUNTIF($D:$D,D529)&gt;1,"DUPLICATE STORE SKU",IF(COUNTIFS($A:$A,A529,$B:$B,B529,$C:$C,C529)&gt;1,"DUPLICATE COLOUR + SIZE","OK"))))))</f>
        <v/>
      </c>
    </row>
    <row r="530">
      <c r="A530" s="9" t="n"/>
      <c r="B530" s="9" t="n"/>
      <c r="C530" s="9" t="n"/>
      <c r="D530" s="9" t="n"/>
      <c r="E530" s="11" t="n"/>
      <c r="F530" s="13" t="n"/>
      <c r="G530" s="11" t="n"/>
      <c r="H530" s="13" t="n"/>
      <c r="I530" s="14">
        <f>IF(A530="","",IF(F530&lt;&gt;"",F530,IFERROR(INDEX(Products!$C:$C,MATCH(A530,Products!$A:$A,0)),"")))</f>
        <v/>
      </c>
      <c r="J530" s="14">
        <f>IF(OR(I530="",H530=""),"",I530-H530)</f>
        <v/>
      </c>
      <c r="K530" s="12">
        <f>IF(A530="","",IF(ISNA(MATCH(A530,Products!$A:$A,0)),"NAME NOT IN PRODUCTS",IF(D530="","ADD STORE SKU",IF(LEFT(D530,2)&lt;&gt;"v-","CHECK: STORE SKU STARTS WITH v-",IF(COUNTIF($D:$D,D530)&gt;1,"DUPLICATE STORE SKU",IF(COUNTIFS($A:$A,A530,$B:$B,B530,$C:$C,C530)&gt;1,"DUPLICATE COLOUR + SIZE","OK"))))))</f>
        <v/>
      </c>
    </row>
    <row r="531">
      <c r="A531" s="9" t="n"/>
      <c r="B531" s="9" t="n"/>
      <c r="C531" s="9" t="n"/>
      <c r="D531" s="9" t="n"/>
      <c r="E531" s="11" t="n"/>
      <c r="F531" s="13" t="n"/>
      <c r="G531" s="11" t="n"/>
      <c r="H531" s="13" t="n"/>
      <c r="I531" s="14">
        <f>IF(A531="","",IF(F531&lt;&gt;"",F531,IFERROR(INDEX(Products!$C:$C,MATCH(A531,Products!$A:$A,0)),"")))</f>
        <v/>
      </c>
      <c r="J531" s="14">
        <f>IF(OR(I531="",H531=""),"",I531-H531)</f>
        <v/>
      </c>
      <c r="K531" s="12">
        <f>IF(A531="","",IF(ISNA(MATCH(A531,Products!$A:$A,0)),"NAME NOT IN PRODUCTS",IF(D531="","ADD STORE SKU",IF(LEFT(D531,2)&lt;&gt;"v-","CHECK: STORE SKU STARTS WITH v-",IF(COUNTIF($D:$D,D531)&gt;1,"DUPLICATE STORE SKU",IF(COUNTIFS($A:$A,A531,$B:$B,B531,$C:$C,C531)&gt;1,"DUPLICATE COLOUR + SIZE","OK"))))))</f>
        <v/>
      </c>
    </row>
    <row r="532">
      <c r="A532" s="9" t="n"/>
      <c r="B532" s="9" t="n"/>
      <c r="C532" s="9" t="n"/>
      <c r="D532" s="9" t="n"/>
      <c r="E532" s="11" t="n"/>
      <c r="F532" s="13" t="n"/>
      <c r="G532" s="11" t="n"/>
      <c r="H532" s="13" t="n"/>
      <c r="I532" s="14">
        <f>IF(A532="","",IF(F532&lt;&gt;"",F532,IFERROR(INDEX(Products!$C:$C,MATCH(A532,Products!$A:$A,0)),"")))</f>
        <v/>
      </c>
      <c r="J532" s="14">
        <f>IF(OR(I532="",H532=""),"",I532-H532)</f>
        <v/>
      </c>
      <c r="K532" s="12">
        <f>IF(A532="","",IF(ISNA(MATCH(A532,Products!$A:$A,0)),"NAME NOT IN PRODUCTS",IF(D532="","ADD STORE SKU",IF(LEFT(D532,2)&lt;&gt;"v-","CHECK: STORE SKU STARTS WITH v-",IF(COUNTIF($D:$D,D532)&gt;1,"DUPLICATE STORE SKU",IF(COUNTIFS($A:$A,A532,$B:$B,B532,$C:$C,C532)&gt;1,"DUPLICATE COLOUR + SIZE","OK"))))))</f>
        <v/>
      </c>
    </row>
    <row r="533">
      <c r="A533" s="9" t="n"/>
      <c r="B533" s="9" t="n"/>
      <c r="C533" s="9" t="n"/>
      <c r="D533" s="9" t="n"/>
      <c r="E533" s="11" t="n"/>
      <c r="F533" s="13" t="n"/>
      <c r="G533" s="11" t="n"/>
      <c r="H533" s="13" t="n"/>
      <c r="I533" s="14">
        <f>IF(A533="","",IF(F533&lt;&gt;"",F533,IFERROR(INDEX(Products!$C:$C,MATCH(A533,Products!$A:$A,0)),"")))</f>
        <v/>
      </c>
      <c r="J533" s="14">
        <f>IF(OR(I533="",H533=""),"",I533-H533)</f>
        <v/>
      </c>
      <c r="K533" s="12">
        <f>IF(A533="","",IF(ISNA(MATCH(A533,Products!$A:$A,0)),"NAME NOT IN PRODUCTS",IF(D533="","ADD STORE SKU",IF(LEFT(D533,2)&lt;&gt;"v-","CHECK: STORE SKU STARTS WITH v-",IF(COUNTIF($D:$D,D533)&gt;1,"DUPLICATE STORE SKU",IF(COUNTIFS($A:$A,A533,$B:$B,B533,$C:$C,C533)&gt;1,"DUPLICATE COLOUR + SIZE","OK"))))))</f>
        <v/>
      </c>
    </row>
    <row r="534">
      <c r="A534" s="9" t="n"/>
      <c r="B534" s="9" t="n"/>
      <c r="C534" s="9" t="n"/>
      <c r="D534" s="9" t="n"/>
      <c r="E534" s="11" t="n"/>
      <c r="F534" s="13" t="n"/>
      <c r="G534" s="11" t="n"/>
      <c r="H534" s="13" t="n"/>
      <c r="I534" s="14">
        <f>IF(A534="","",IF(F534&lt;&gt;"",F534,IFERROR(INDEX(Products!$C:$C,MATCH(A534,Products!$A:$A,0)),"")))</f>
        <v/>
      </c>
      <c r="J534" s="14">
        <f>IF(OR(I534="",H534=""),"",I534-H534)</f>
        <v/>
      </c>
      <c r="K534" s="12">
        <f>IF(A534="","",IF(ISNA(MATCH(A534,Products!$A:$A,0)),"NAME NOT IN PRODUCTS",IF(D534="","ADD STORE SKU",IF(LEFT(D534,2)&lt;&gt;"v-","CHECK: STORE SKU STARTS WITH v-",IF(COUNTIF($D:$D,D534)&gt;1,"DUPLICATE STORE SKU",IF(COUNTIFS($A:$A,A534,$B:$B,B534,$C:$C,C534)&gt;1,"DUPLICATE COLOUR + SIZE","OK"))))))</f>
        <v/>
      </c>
    </row>
    <row r="535">
      <c r="A535" s="9" t="n"/>
      <c r="B535" s="9" t="n"/>
      <c r="C535" s="9" t="n"/>
      <c r="D535" s="9" t="n"/>
      <c r="E535" s="11" t="n"/>
      <c r="F535" s="13" t="n"/>
      <c r="G535" s="11" t="n"/>
      <c r="H535" s="13" t="n"/>
      <c r="I535" s="14">
        <f>IF(A535="","",IF(F535&lt;&gt;"",F535,IFERROR(INDEX(Products!$C:$C,MATCH(A535,Products!$A:$A,0)),"")))</f>
        <v/>
      </c>
      <c r="J535" s="14">
        <f>IF(OR(I535="",H535=""),"",I535-H535)</f>
        <v/>
      </c>
      <c r="K535" s="12">
        <f>IF(A535="","",IF(ISNA(MATCH(A535,Products!$A:$A,0)),"NAME NOT IN PRODUCTS",IF(D535="","ADD STORE SKU",IF(LEFT(D535,2)&lt;&gt;"v-","CHECK: STORE SKU STARTS WITH v-",IF(COUNTIF($D:$D,D535)&gt;1,"DUPLICATE STORE SKU",IF(COUNTIFS($A:$A,A535,$B:$B,B535,$C:$C,C535)&gt;1,"DUPLICATE COLOUR + SIZE","OK"))))))</f>
        <v/>
      </c>
    </row>
    <row r="536">
      <c r="A536" s="9" t="n"/>
      <c r="B536" s="9" t="n"/>
      <c r="C536" s="9" t="n"/>
      <c r="D536" s="9" t="n"/>
      <c r="E536" s="11" t="n"/>
      <c r="F536" s="13" t="n"/>
      <c r="G536" s="11" t="n"/>
      <c r="H536" s="13" t="n"/>
      <c r="I536" s="14">
        <f>IF(A536="","",IF(F536&lt;&gt;"",F536,IFERROR(INDEX(Products!$C:$C,MATCH(A536,Products!$A:$A,0)),"")))</f>
        <v/>
      </c>
      <c r="J536" s="14">
        <f>IF(OR(I536="",H536=""),"",I536-H536)</f>
        <v/>
      </c>
      <c r="K536" s="12">
        <f>IF(A536="","",IF(ISNA(MATCH(A536,Products!$A:$A,0)),"NAME NOT IN PRODUCTS",IF(D536="","ADD STORE SKU",IF(LEFT(D536,2)&lt;&gt;"v-","CHECK: STORE SKU STARTS WITH v-",IF(COUNTIF($D:$D,D536)&gt;1,"DUPLICATE STORE SKU",IF(COUNTIFS($A:$A,A536,$B:$B,B536,$C:$C,C536)&gt;1,"DUPLICATE COLOUR + SIZE","OK"))))))</f>
        <v/>
      </c>
    </row>
    <row r="537">
      <c r="A537" s="9" t="n"/>
      <c r="B537" s="9" t="n"/>
      <c r="C537" s="9" t="n"/>
      <c r="D537" s="9" t="n"/>
      <c r="E537" s="11" t="n"/>
      <c r="F537" s="13" t="n"/>
      <c r="G537" s="11" t="n"/>
      <c r="H537" s="13" t="n"/>
      <c r="I537" s="14">
        <f>IF(A537="","",IF(F537&lt;&gt;"",F537,IFERROR(INDEX(Products!$C:$C,MATCH(A537,Products!$A:$A,0)),"")))</f>
        <v/>
      </c>
      <c r="J537" s="14">
        <f>IF(OR(I537="",H537=""),"",I537-H537)</f>
        <v/>
      </c>
      <c r="K537" s="12">
        <f>IF(A537="","",IF(ISNA(MATCH(A537,Products!$A:$A,0)),"NAME NOT IN PRODUCTS",IF(D537="","ADD STORE SKU",IF(LEFT(D537,2)&lt;&gt;"v-","CHECK: STORE SKU STARTS WITH v-",IF(COUNTIF($D:$D,D537)&gt;1,"DUPLICATE STORE SKU",IF(COUNTIFS($A:$A,A537,$B:$B,B537,$C:$C,C537)&gt;1,"DUPLICATE COLOUR + SIZE","OK"))))))</f>
        <v/>
      </c>
    </row>
    <row r="538">
      <c r="A538" s="9" t="n"/>
      <c r="B538" s="9" t="n"/>
      <c r="C538" s="9" t="n"/>
      <c r="D538" s="9" t="n"/>
      <c r="E538" s="11" t="n"/>
      <c r="F538" s="13" t="n"/>
      <c r="G538" s="11" t="n"/>
      <c r="H538" s="13" t="n"/>
      <c r="I538" s="14">
        <f>IF(A538="","",IF(F538&lt;&gt;"",F538,IFERROR(INDEX(Products!$C:$C,MATCH(A538,Products!$A:$A,0)),"")))</f>
        <v/>
      </c>
      <c r="J538" s="14">
        <f>IF(OR(I538="",H538=""),"",I538-H538)</f>
        <v/>
      </c>
      <c r="K538" s="12">
        <f>IF(A538="","",IF(ISNA(MATCH(A538,Products!$A:$A,0)),"NAME NOT IN PRODUCTS",IF(D538="","ADD STORE SKU",IF(LEFT(D538,2)&lt;&gt;"v-","CHECK: STORE SKU STARTS WITH v-",IF(COUNTIF($D:$D,D538)&gt;1,"DUPLICATE STORE SKU",IF(COUNTIFS($A:$A,A538,$B:$B,B538,$C:$C,C538)&gt;1,"DUPLICATE COLOUR + SIZE","OK"))))))</f>
        <v/>
      </c>
    </row>
    <row r="539">
      <c r="A539" s="9" t="n"/>
      <c r="B539" s="9" t="n"/>
      <c r="C539" s="9" t="n"/>
      <c r="D539" s="9" t="n"/>
      <c r="E539" s="11" t="n"/>
      <c r="F539" s="13" t="n"/>
      <c r="G539" s="11" t="n"/>
      <c r="H539" s="13" t="n"/>
      <c r="I539" s="14">
        <f>IF(A539="","",IF(F539&lt;&gt;"",F539,IFERROR(INDEX(Products!$C:$C,MATCH(A539,Products!$A:$A,0)),"")))</f>
        <v/>
      </c>
      <c r="J539" s="14">
        <f>IF(OR(I539="",H539=""),"",I539-H539)</f>
        <v/>
      </c>
      <c r="K539" s="12">
        <f>IF(A539="","",IF(ISNA(MATCH(A539,Products!$A:$A,0)),"NAME NOT IN PRODUCTS",IF(D539="","ADD STORE SKU",IF(LEFT(D539,2)&lt;&gt;"v-","CHECK: STORE SKU STARTS WITH v-",IF(COUNTIF($D:$D,D539)&gt;1,"DUPLICATE STORE SKU",IF(COUNTIFS($A:$A,A539,$B:$B,B539,$C:$C,C539)&gt;1,"DUPLICATE COLOUR + SIZE","OK"))))))</f>
        <v/>
      </c>
    </row>
    <row r="540">
      <c r="A540" s="9" t="n"/>
      <c r="B540" s="9" t="n"/>
      <c r="C540" s="9" t="n"/>
      <c r="D540" s="9" t="n"/>
      <c r="E540" s="11" t="n"/>
      <c r="F540" s="13" t="n"/>
      <c r="G540" s="11" t="n"/>
      <c r="H540" s="13" t="n"/>
      <c r="I540" s="14">
        <f>IF(A540="","",IF(F540&lt;&gt;"",F540,IFERROR(INDEX(Products!$C:$C,MATCH(A540,Products!$A:$A,0)),"")))</f>
        <v/>
      </c>
      <c r="J540" s="14">
        <f>IF(OR(I540="",H540=""),"",I540-H540)</f>
        <v/>
      </c>
      <c r="K540" s="12">
        <f>IF(A540="","",IF(ISNA(MATCH(A540,Products!$A:$A,0)),"NAME NOT IN PRODUCTS",IF(D540="","ADD STORE SKU",IF(LEFT(D540,2)&lt;&gt;"v-","CHECK: STORE SKU STARTS WITH v-",IF(COUNTIF($D:$D,D540)&gt;1,"DUPLICATE STORE SKU",IF(COUNTIFS($A:$A,A540,$B:$B,B540,$C:$C,C540)&gt;1,"DUPLICATE COLOUR + SIZE","OK"))))))</f>
        <v/>
      </c>
    </row>
    <row r="541">
      <c r="A541" s="9" t="n"/>
      <c r="B541" s="9" t="n"/>
      <c r="C541" s="9" t="n"/>
      <c r="D541" s="9" t="n"/>
      <c r="E541" s="11" t="n"/>
      <c r="F541" s="13" t="n"/>
      <c r="G541" s="11" t="n"/>
      <c r="H541" s="13" t="n"/>
      <c r="I541" s="14">
        <f>IF(A541="","",IF(F541&lt;&gt;"",F541,IFERROR(INDEX(Products!$C:$C,MATCH(A541,Products!$A:$A,0)),"")))</f>
        <v/>
      </c>
      <c r="J541" s="14">
        <f>IF(OR(I541="",H541=""),"",I541-H541)</f>
        <v/>
      </c>
      <c r="K541" s="12">
        <f>IF(A541="","",IF(ISNA(MATCH(A541,Products!$A:$A,0)),"NAME NOT IN PRODUCTS",IF(D541="","ADD STORE SKU",IF(LEFT(D541,2)&lt;&gt;"v-","CHECK: STORE SKU STARTS WITH v-",IF(COUNTIF($D:$D,D541)&gt;1,"DUPLICATE STORE SKU",IF(COUNTIFS($A:$A,A541,$B:$B,B541,$C:$C,C541)&gt;1,"DUPLICATE COLOUR + SIZE","OK"))))))</f>
        <v/>
      </c>
    </row>
    <row r="542">
      <c r="A542" s="9" t="n"/>
      <c r="B542" s="9" t="n"/>
      <c r="C542" s="9" t="n"/>
      <c r="D542" s="9" t="n"/>
      <c r="E542" s="11" t="n"/>
      <c r="F542" s="13" t="n"/>
      <c r="G542" s="11" t="n"/>
      <c r="H542" s="13" t="n"/>
      <c r="I542" s="14">
        <f>IF(A542="","",IF(F542&lt;&gt;"",F542,IFERROR(INDEX(Products!$C:$C,MATCH(A542,Products!$A:$A,0)),"")))</f>
        <v/>
      </c>
      <c r="J542" s="14">
        <f>IF(OR(I542="",H542=""),"",I542-H542)</f>
        <v/>
      </c>
      <c r="K542" s="12">
        <f>IF(A542="","",IF(ISNA(MATCH(A542,Products!$A:$A,0)),"NAME NOT IN PRODUCTS",IF(D542="","ADD STORE SKU",IF(LEFT(D542,2)&lt;&gt;"v-","CHECK: STORE SKU STARTS WITH v-",IF(COUNTIF($D:$D,D542)&gt;1,"DUPLICATE STORE SKU",IF(COUNTIFS($A:$A,A542,$B:$B,B542,$C:$C,C542)&gt;1,"DUPLICATE COLOUR + SIZE","OK"))))))</f>
        <v/>
      </c>
    </row>
    <row r="543">
      <c r="A543" s="9" t="n"/>
      <c r="B543" s="9" t="n"/>
      <c r="C543" s="9" t="n"/>
      <c r="D543" s="9" t="n"/>
      <c r="E543" s="11" t="n"/>
      <c r="F543" s="13" t="n"/>
      <c r="G543" s="11" t="n"/>
      <c r="H543" s="13" t="n"/>
      <c r="I543" s="14">
        <f>IF(A543="","",IF(F543&lt;&gt;"",F543,IFERROR(INDEX(Products!$C:$C,MATCH(A543,Products!$A:$A,0)),"")))</f>
        <v/>
      </c>
      <c r="J543" s="14">
        <f>IF(OR(I543="",H543=""),"",I543-H543)</f>
        <v/>
      </c>
      <c r="K543" s="12">
        <f>IF(A543="","",IF(ISNA(MATCH(A543,Products!$A:$A,0)),"NAME NOT IN PRODUCTS",IF(D543="","ADD STORE SKU",IF(LEFT(D543,2)&lt;&gt;"v-","CHECK: STORE SKU STARTS WITH v-",IF(COUNTIF($D:$D,D543)&gt;1,"DUPLICATE STORE SKU",IF(COUNTIFS($A:$A,A543,$B:$B,B543,$C:$C,C543)&gt;1,"DUPLICATE COLOUR + SIZE","OK"))))))</f>
        <v/>
      </c>
    </row>
    <row r="544">
      <c r="A544" s="9" t="n"/>
      <c r="B544" s="9" t="n"/>
      <c r="C544" s="9" t="n"/>
      <c r="D544" s="9" t="n"/>
      <c r="E544" s="11" t="n"/>
      <c r="F544" s="13" t="n"/>
      <c r="G544" s="11" t="n"/>
      <c r="H544" s="13" t="n"/>
      <c r="I544" s="14">
        <f>IF(A544="","",IF(F544&lt;&gt;"",F544,IFERROR(INDEX(Products!$C:$C,MATCH(A544,Products!$A:$A,0)),"")))</f>
        <v/>
      </c>
      <c r="J544" s="14">
        <f>IF(OR(I544="",H544=""),"",I544-H544)</f>
        <v/>
      </c>
      <c r="K544" s="12">
        <f>IF(A544="","",IF(ISNA(MATCH(A544,Products!$A:$A,0)),"NAME NOT IN PRODUCTS",IF(D544="","ADD STORE SKU",IF(LEFT(D544,2)&lt;&gt;"v-","CHECK: STORE SKU STARTS WITH v-",IF(COUNTIF($D:$D,D544)&gt;1,"DUPLICATE STORE SKU",IF(COUNTIFS($A:$A,A544,$B:$B,B544,$C:$C,C544)&gt;1,"DUPLICATE COLOUR + SIZE","OK"))))))</f>
        <v/>
      </c>
    </row>
    <row r="545">
      <c r="A545" s="9" t="n"/>
      <c r="B545" s="9" t="n"/>
      <c r="C545" s="9" t="n"/>
      <c r="D545" s="9" t="n"/>
      <c r="E545" s="11" t="n"/>
      <c r="F545" s="13" t="n"/>
      <c r="G545" s="11" t="n"/>
      <c r="H545" s="13" t="n"/>
      <c r="I545" s="14">
        <f>IF(A545="","",IF(F545&lt;&gt;"",F545,IFERROR(INDEX(Products!$C:$C,MATCH(A545,Products!$A:$A,0)),"")))</f>
        <v/>
      </c>
      <c r="J545" s="14">
        <f>IF(OR(I545="",H545=""),"",I545-H545)</f>
        <v/>
      </c>
      <c r="K545" s="12">
        <f>IF(A545="","",IF(ISNA(MATCH(A545,Products!$A:$A,0)),"NAME NOT IN PRODUCTS",IF(D545="","ADD STORE SKU",IF(LEFT(D545,2)&lt;&gt;"v-","CHECK: STORE SKU STARTS WITH v-",IF(COUNTIF($D:$D,D545)&gt;1,"DUPLICATE STORE SKU",IF(COUNTIFS($A:$A,A545,$B:$B,B545,$C:$C,C545)&gt;1,"DUPLICATE COLOUR + SIZE","OK"))))))</f>
        <v/>
      </c>
    </row>
    <row r="546">
      <c r="A546" s="9" t="n"/>
      <c r="B546" s="9" t="n"/>
      <c r="C546" s="9" t="n"/>
      <c r="D546" s="9" t="n"/>
      <c r="E546" s="11" t="n"/>
      <c r="F546" s="13" t="n"/>
      <c r="G546" s="11" t="n"/>
      <c r="H546" s="13" t="n"/>
      <c r="I546" s="14">
        <f>IF(A546="","",IF(F546&lt;&gt;"",F546,IFERROR(INDEX(Products!$C:$C,MATCH(A546,Products!$A:$A,0)),"")))</f>
        <v/>
      </c>
      <c r="J546" s="14">
        <f>IF(OR(I546="",H546=""),"",I546-H546)</f>
        <v/>
      </c>
      <c r="K546" s="12">
        <f>IF(A546="","",IF(ISNA(MATCH(A546,Products!$A:$A,0)),"NAME NOT IN PRODUCTS",IF(D546="","ADD STORE SKU",IF(LEFT(D546,2)&lt;&gt;"v-","CHECK: STORE SKU STARTS WITH v-",IF(COUNTIF($D:$D,D546)&gt;1,"DUPLICATE STORE SKU",IF(COUNTIFS($A:$A,A546,$B:$B,B546,$C:$C,C546)&gt;1,"DUPLICATE COLOUR + SIZE","OK"))))))</f>
        <v/>
      </c>
    </row>
    <row r="547">
      <c r="A547" s="9" t="n"/>
      <c r="B547" s="9" t="n"/>
      <c r="C547" s="9" t="n"/>
      <c r="D547" s="9" t="n"/>
      <c r="E547" s="11" t="n"/>
      <c r="F547" s="13" t="n"/>
      <c r="G547" s="11" t="n"/>
      <c r="H547" s="13" t="n"/>
      <c r="I547" s="14">
        <f>IF(A547="","",IF(F547&lt;&gt;"",F547,IFERROR(INDEX(Products!$C:$C,MATCH(A547,Products!$A:$A,0)),"")))</f>
        <v/>
      </c>
      <c r="J547" s="14">
        <f>IF(OR(I547="",H547=""),"",I547-H547)</f>
        <v/>
      </c>
      <c r="K547" s="12">
        <f>IF(A547="","",IF(ISNA(MATCH(A547,Products!$A:$A,0)),"NAME NOT IN PRODUCTS",IF(D547="","ADD STORE SKU",IF(LEFT(D547,2)&lt;&gt;"v-","CHECK: STORE SKU STARTS WITH v-",IF(COUNTIF($D:$D,D547)&gt;1,"DUPLICATE STORE SKU",IF(COUNTIFS($A:$A,A547,$B:$B,B547,$C:$C,C547)&gt;1,"DUPLICATE COLOUR + SIZE","OK"))))))</f>
        <v/>
      </c>
    </row>
    <row r="548">
      <c r="A548" s="9" t="n"/>
      <c r="B548" s="9" t="n"/>
      <c r="C548" s="9" t="n"/>
      <c r="D548" s="9" t="n"/>
      <c r="E548" s="11" t="n"/>
      <c r="F548" s="13" t="n"/>
      <c r="G548" s="11" t="n"/>
      <c r="H548" s="13" t="n"/>
      <c r="I548" s="14">
        <f>IF(A548="","",IF(F548&lt;&gt;"",F548,IFERROR(INDEX(Products!$C:$C,MATCH(A548,Products!$A:$A,0)),"")))</f>
        <v/>
      </c>
      <c r="J548" s="14">
        <f>IF(OR(I548="",H548=""),"",I548-H548)</f>
        <v/>
      </c>
      <c r="K548" s="12">
        <f>IF(A548="","",IF(ISNA(MATCH(A548,Products!$A:$A,0)),"NAME NOT IN PRODUCTS",IF(D548="","ADD STORE SKU",IF(LEFT(D548,2)&lt;&gt;"v-","CHECK: STORE SKU STARTS WITH v-",IF(COUNTIF($D:$D,D548)&gt;1,"DUPLICATE STORE SKU",IF(COUNTIFS($A:$A,A548,$B:$B,B548,$C:$C,C548)&gt;1,"DUPLICATE COLOUR + SIZE","OK"))))))</f>
        <v/>
      </c>
    </row>
    <row r="549">
      <c r="A549" s="9" t="n"/>
      <c r="B549" s="9" t="n"/>
      <c r="C549" s="9" t="n"/>
      <c r="D549" s="9" t="n"/>
      <c r="E549" s="11" t="n"/>
      <c r="F549" s="13" t="n"/>
      <c r="G549" s="11" t="n"/>
      <c r="H549" s="13" t="n"/>
      <c r="I549" s="14">
        <f>IF(A549="","",IF(F549&lt;&gt;"",F549,IFERROR(INDEX(Products!$C:$C,MATCH(A549,Products!$A:$A,0)),"")))</f>
        <v/>
      </c>
      <c r="J549" s="14">
        <f>IF(OR(I549="",H549=""),"",I549-H549)</f>
        <v/>
      </c>
      <c r="K549" s="12">
        <f>IF(A549="","",IF(ISNA(MATCH(A549,Products!$A:$A,0)),"NAME NOT IN PRODUCTS",IF(D549="","ADD STORE SKU",IF(LEFT(D549,2)&lt;&gt;"v-","CHECK: STORE SKU STARTS WITH v-",IF(COUNTIF($D:$D,D549)&gt;1,"DUPLICATE STORE SKU",IF(COUNTIFS($A:$A,A549,$B:$B,B549,$C:$C,C549)&gt;1,"DUPLICATE COLOUR + SIZE","OK"))))))</f>
        <v/>
      </c>
    </row>
    <row r="550">
      <c r="A550" s="9" t="n"/>
      <c r="B550" s="9" t="n"/>
      <c r="C550" s="9" t="n"/>
      <c r="D550" s="9" t="n"/>
      <c r="E550" s="11" t="n"/>
      <c r="F550" s="13" t="n"/>
      <c r="G550" s="11" t="n"/>
      <c r="H550" s="13" t="n"/>
      <c r="I550" s="14">
        <f>IF(A550="","",IF(F550&lt;&gt;"",F550,IFERROR(INDEX(Products!$C:$C,MATCH(A550,Products!$A:$A,0)),"")))</f>
        <v/>
      </c>
      <c r="J550" s="14">
        <f>IF(OR(I550="",H550=""),"",I550-H550)</f>
        <v/>
      </c>
      <c r="K550" s="12">
        <f>IF(A550="","",IF(ISNA(MATCH(A550,Products!$A:$A,0)),"NAME NOT IN PRODUCTS",IF(D550="","ADD STORE SKU",IF(LEFT(D550,2)&lt;&gt;"v-","CHECK: STORE SKU STARTS WITH v-",IF(COUNTIF($D:$D,D550)&gt;1,"DUPLICATE STORE SKU",IF(COUNTIFS($A:$A,A550,$B:$B,B550,$C:$C,C550)&gt;1,"DUPLICATE COLOUR + SIZE","OK"))))))</f>
        <v/>
      </c>
    </row>
    <row r="551">
      <c r="A551" s="9" t="n"/>
      <c r="B551" s="9" t="n"/>
      <c r="C551" s="9" t="n"/>
      <c r="D551" s="9" t="n"/>
      <c r="E551" s="11" t="n"/>
      <c r="F551" s="13" t="n"/>
      <c r="G551" s="11" t="n"/>
      <c r="H551" s="13" t="n"/>
      <c r="I551" s="14">
        <f>IF(A551="","",IF(F551&lt;&gt;"",F551,IFERROR(INDEX(Products!$C:$C,MATCH(A551,Products!$A:$A,0)),"")))</f>
        <v/>
      </c>
      <c r="J551" s="14">
        <f>IF(OR(I551="",H551=""),"",I551-H551)</f>
        <v/>
      </c>
      <c r="K551" s="12">
        <f>IF(A551="","",IF(ISNA(MATCH(A551,Products!$A:$A,0)),"NAME NOT IN PRODUCTS",IF(D551="","ADD STORE SKU",IF(LEFT(D551,2)&lt;&gt;"v-","CHECK: STORE SKU STARTS WITH v-",IF(COUNTIF($D:$D,D551)&gt;1,"DUPLICATE STORE SKU",IF(COUNTIFS($A:$A,A551,$B:$B,B551,$C:$C,C551)&gt;1,"DUPLICATE COLOUR + SIZE","OK"))))))</f>
        <v/>
      </c>
    </row>
    <row r="552">
      <c r="A552" s="9" t="n"/>
      <c r="B552" s="9" t="n"/>
      <c r="C552" s="9" t="n"/>
      <c r="D552" s="9" t="n"/>
      <c r="E552" s="11" t="n"/>
      <c r="F552" s="13" t="n"/>
      <c r="G552" s="11" t="n"/>
      <c r="H552" s="13" t="n"/>
      <c r="I552" s="14">
        <f>IF(A552="","",IF(F552&lt;&gt;"",F552,IFERROR(INDEX(Products!$C:$C,MATCH(A552,Products!$A:$A,0)),"")))</f>
        <v/>
      </c>
      <c r="J552" s="14">
        <f>IF(OR(I552="",H552=""),"",I552-H552)</f>
        <v/>
      </c>
      <c r="K552" s="12">
        <f>IF(A552="","",IF(ISNA(MATCH(A552,Products!$A:$A,0)),"NAME NOT IN PRODUCTS",IF(D552="","ADD STORE SKU",IF(LEFT(D552,2)&lt;&gt;"v-","CHECK: STORE SKU STARTS WITH v-",IF(COUNTIF($D:$D,D552)&gt;1,"DUPLICATE STORE SKU",IF(COUNTIFS($A:$A,A552,$B:$B,B552,$C:$C,C552)&gt;1,"DUPLICATE COLOUR + SIZE","OK"))))))</f>
        <v/>
      </c>
    </row>
    <row r="553">
      <c r="A553" s="9" t="n"/>
      <c r="B553" s="9" t="n"/>
      <c r="C553" s="9" t="n"/>
      <c r="D553" s="9" t="n"/>
      <c r="E553" s="11" t="n"/>
      <c r="F553" s="13" t="n"/>
      <c r="G553" s="11" t="n"/>
      <c r="H553" s="13" t="n"/>
      <c r="I553" s="14">
        <f>IF(A553="","",IF(F553&lt;&gt;"",F553,IFERROR(INDEX(Products!$C:$C,MATCH(A553,Products!$A:$A,0)),"")))</f>
        <v/>
      </c>
      <c r="J553" s="14">
        <f>IF(OR(I553="",H553=""),"",I553-H553)</f>
        <v/>
      </c>
      <c r="K553" s="12">
        <f>IF(A553="","",IF(ISNA(MATCH(A553,Products!$A:$A,0)),"NAME NOT IN PRODUCTS",IF(D553="","ADD STORE SKU",IF(LEFT(D553,2)&lt;&gt;"v-","CHECK: STORE SKU STARTS WITH v-",IF(COUNTIF($D:$D,D553)&gt;1,"DUPLICATE STORE SKU",IF(COUNTIFS($A:$A,A553,$B:$B,B553,$C:$C,C553)&gt;1,"DUPLICATE COLOUR + SIZE","OK"))))))</f>
        <v/>
      </c>
    </row>
    <row r="554">
      <c r="A554" s="9" t="n"/>
      <c r="B554" s="9" t="n"/>
      <c r="C554" s="9" t="n"/>
      <c r="D554" s="9" t="n"/>
      <c r="E554" s="11" t="n"/>
      <c r="F554" s="13" t="n"/>
      <c r="G554" s="11" t="n"/>
      <c r="H554" s="13" t="n"/>
      <c r="I554" s="14">
        <f>IF(A554="","",IF(F554&lt;&gt;"",F554,IFERROR(INDEX(Products!$C:$C,MATCH(A554,Products!$A:$A,0)),"")))</f>
        <v/>
      </c>
      <c r="J554" s="14">
        <f>IF(OR(I554="",H554=""),"",I554-H554)</f>
        <v/>
      </c>
      <c r="K554" s="12">
        <f>IF(A554="","",IF(ISNA(MATCH(A554,Products!$A:$A,0)),"NAME NOT IN PRODUCTS",IF(D554="","ADD STORE SKU",IF(LEFT(D554,2)&lt;&gt;"v-","CHECK: STORE SKU STARTS WITH v-",IF(COUNTIF($D:$D,D554)&gt;1,"DUPLICATE STORE SKU",IF(COUNTIFS($A:$A,A554,$B:$B,B554,$C:$C,C554)&gt;1,"DUPLICATE COLOUR + SIZE","OK"))))))</f>
        <v/>
      </c>
    </row>
    <row r="555">
      <c r="A555" s="9" t="n"/>
      <c r="B555" s="9" t="n"/>
      <c r="C555" s="9" t="n"/>
      <c r="D555" s="9" t="n"/>
      <c r="E555" s="11" t="n"/>
      <c r="F555" s="13" t="n"/>
      <c r="G555" s="11" t="n"/>
      <c r="H555" s="13" t="n"/>
      <c r="I555" s="14">
        <f>IF(A555="","",IF(F555&lt;&gt;"",F555,IFERROR(INDEX(Products!$C:$C,MATCH(A555,Products!$A:$A,0)),"")))</f>
        <v/>
      </c>
      <c r="J555" s="14">
        <f>IF(OR(I555="",H555=""),"",I555-H555)</f>
        <v/>
      </c>
      <c r="K555" s="12">
        <f>IF(A555="","",IF(ISNA(MATCH(A555,Products!$A:$A,0)),"NAME NOT IN PRODUCTS",IF(D555="","ADD STORE SKU",IF(LEFT(D555,2)&lt;&gt;"v-","CHECK: STORE SKU STARTS WITH v-",IF(COUNTIF($D:$D,D555)&gt;1,"DUPLICATE STORE SKU",IF(COUNTIFS($A:$A,A555,$B:$B,B555,$C:$C,C555)&gt;1,"DUPLICATE COLOUR + SIZE","OK"))))))</f>
        <v/>
      </c>
    </row>
    <row r="556">
      <c r="A556" s="9" t="n"/>
      <c r="B556" s="9" t="n"/>
      <c r="C556" s="9" t="n"/>
      <c r="D556" s="9" t="n"/>
      <c r="E556" s="11" t="n"/>
      <c r="F556" s="13" t="n"/>
      <c r="G556" s="11" t="n"/>
      <c r="H556" s="13" t="n"/>
      <c r="I556" s="14">
        <f>IF(A556="","",IF(F556&lt;&gt;"",F556,IFERROR(INDEX(Products!$C:$C,MATCH(A556,Products!$A:$A,0)),"")))</f>
        <v/>
      </c>
      <c r="J556" s="14">
        <f>IF(OR(I556="",H556=""),"",I556-H556)</f>
        <v/>
      </c>
      <c r="K556" s="12">
        <f>IF(A556="","",IF(ISNA(MATCH(A556,Products!$A:$A,0)),"NAME NOT IN PRODUCTS",IF(D556="","ADD STORE SKU",IF(LEFT(D556,2)&lt;&gt;"v-","CHECK: STORE SKU STARTS WITH v-",IF(COUNTIF($D:$D,D556)&gt;1,"DUPLICATE STORE SKU",IF(COUNTIFS($A:$A,A556,$B:$B,B556,$C:$C,C556)&gt;1,"DUPLICATE COLOUR + SIZE","OK"))))))</f>
        <v/>
      </c>
    </row>
    <row r="557">
      <c r="A557" s="9" t="n"/>
      <c r="B557" s="9" t="n"/>
      <c r="C557" s="9" t="n"/>
      <c r="D557" s="9" t="n"/>
      <c r="E557" s="11" t="n"/>
      <c r="F557" s="13" t="n"/>
      <c r="G557" s="11" t="n"/>
      <c r="H557" s="13" t="n"/>
      <c r="I557" s="14">
        <f>IF(A557="","",IF(F557&lt;&gt;"",F557,IFERROR(INDEX(Products!$C:$C,MATCH(A557,Products!$A:$A,0)),"")))</f>
        <v/>
      </c>
      <c r="J557" s="14">
        <f>IF(OR(I557="",H557=""),"",I557-H557)</f>
        <v/>
      </c>
      <c r="K557" s="12">
        <f>IF(A557="","",IF(ISNA(MATCH(A557,Products!$A:$A,0)),"NAME NOT IN PRODUCTS",IF(D557="","ADD STORE SKU",IF(LEFT(D557,2)&lt;&gt;"v-","CHECK: STORE SKU STARTS WITH v-",IF(COUNTIF($D:$D,D557)&gt;1,"DUPLICATE STORE SKU",IF(COUNTIFS($A:$A,A557,$B:$B,B557,$C:$C,C557)&gt;1,"DUPLICATE COLOUR + SIZE","OK"))))))</f>
        <v/>
      </c>
    </row>
    <row r="558">
      <c r="A558" s="9" t="n"/>
      <c r="B558" s="9" t="n"/>
      <c r="C558" s="9" t="n"/>
      <c r="D558" s="9" t="n"/>
      <c r="E558" s="11" t="n"/>
      <c r="F558" s="13" t="n"/>
      <c r="G558" s="11" t="n"/>
      <c r="H558" s="13" t="n"/>
      <c r="I558" s="14">
        <f>IF(A558="","",IF(F558&lt;&gt;"",F558,IFERROR(INDEX(Products!$C:$C,MATCH(A558,Products!$A:$A,0)),"")))</f>
        <v/>
      </c>
      <c r="J558" s="14">
        <f>IF(OR(I558="",H558=""),"",I558-H558)</f>
        <v/>
      </c>
      <c r="K558" s="12">
        <f>IF(A558="","",IF(ISNA(MATCH(A558,Products!$A:$A,0)),"NAME NOT IN PRODUCTS",IF(D558="","ADD STORE SKU",IF(LEFT(D558,2)&lt;&gt;"v-","CHECK: STORE SKU STARTS WITH v-",IF(COUNTIF($D:$D,D558)&gt;1,"DUPLICATE STORE SKU",IF(COUNTIFS($A:$A,A558,$B:$B,B558,$C:$C,C558)&gt;1,"DUPLICATE COLOUR + SIZE","OK"))))))</f>
        <v/>
      </c>
    </row>
    <row r="559">
      <c r="A559" s="9" t="n"/>
      <c r="B559" s="9" t="n"/>
      <c r="C559" s="9" t="n"/>
      <c r="D559" s="9" t="n"/>
      <c r="E559" s="11" t="n"/>
      <c r="F559" s="13" t="n"/>
      <c r="G559" s="11" t="n"/>
      <c r="H559" s="13" t="n"/>
      <c r="I559" s="14">
        <f>IF(A559="","",IF(F559&lt;&gt;"",F559,IFERROR(INDEX(Products!$C:$C,MATCH(A559,Products!$A:$A,0)),"")))</f>
        <v/>
      </c>
      <c r="J559" s="14">
        <f>IF(OR(I559="",H559=""),"",I559-H559)</f>
        <v/>
      </c>
      <c r="K559" s="12">
        <f>IF(A559="","",IF(ISNA(MATCH(A559,Products!$A:$A,0)),"NAME NOT IN PRODUCTS",IF(D559="","ADD STORE SKU",IF(LEFT(D559,2)&lt;&gt;"v-","CHECK: STORE SKU STARTS WITH v-",IF(COUNTIF($D:$D,D559)&gt;1,"DUPLICATE STORE SKU",IF(COUNTIFS($A:$A,A559,$B:$B,B559,$C:$C,C559)&gt;1,"DUPLICATE COLOUR + SIZE","OK"))))))</f>
        <v/>
      </c>
    </row>
    <row r="560">
      <c r="A560" s="9" t="n"/>
      <c r="B560" s="9" t="n"/>
      <c r="C560" s="9" t="n"/>
      <c r="D560" s="9" t="n"/>
      <c r="E560" s="11" t="n"/>
      <c r="F560" s="13" t="n"/>
      <c r="G560" s="11" t="n"/>
      <c r="H560" s="13" t="n"/>
      <c r="I560" s="14">
        <f>IF(A560="","",IF(F560&lt;&gt;"",F560,IFERROR(INDEX(Products!$C:$C,MATCH(A560,Products!$A:$A,0)),"")))</f>
        <v/>
      </c>
      <c r="J560" s="14">
        <f>IF(OR(I560="",H560=""),"",I560-H560)</f>
        <v/>
      </c>
      <c r="K560" s="12">
        <f>IF(A560="","",IF(ISNA(MATCH(A560,Products!$A:$A,0)),"NAME NOT IN PRODUCTS",IF(D560="","ADD STORE SKU",IF(LEFT(D560,2)&lt;&gt;"v-","CHECK: STORE SKU STARTS WITH v-",IF(COUNTIF($D:$D,D560)&gt;1,"DUPLICATE STORE SKU",IF(COUNTIFS($A:$A,A560,$B:$B,B560,$C:$C,C560)&gt;1,"DUPLICATE COLOUR + SIZE","OK"))))))</f>
        <v/>
      </c>
    </row>
    <row r="561">
      <c r="A561" s="9" t="n"/>
      <c r="B561" s="9" t="n"/>
      <c r="C561" s="9" t="n"/>
      <c r="D561" s="9" t="n"/>
      <c r="E561" s="11" t="n"/>
      <c r="F561" s="13" t="n"/>
      <c r="G561" s="11" t="n"/>
      <c r="H561" s="13" t="n"/>
      <c r="I561" s="14">
        <f>IF(A561="","",IF(F561&lt;&gt;"",F561,IFERROR(INDEX(Products!$C:$C,MATCH(A561,Products!$A:$A,0)),"")))</f>
        <v/>
      </c>
      <c r="J561" s="14">
        <f>IF(OR(I561="",H561=""),"",I561-H561)</f>
        <v/>
      </c>
      <c r="K561" s="12">
        <f>IF(A561="","",IF(ISNA(MATCH(A561,Products!$A:$A,0)),"NAME NOT IN PRODUCTS",IF(D561="","ADD STORE SKU",IF(LEFT(D561,2)&lt;&gt;"v-","CHECK: STORE SKU STARTS WITH v-",IF(COUNTIF($D:$D,D561)&gt;1,"DUPLICATE STORE SKU",IF(COUNTIFS($A:$A,A561,$B:$B,B561,$C:$C,C561)&gt;1,"DUPLICATE COLOUR + SIZE","OK"))))))</f>
        <v/>
      </c>
    </row>
    <row r="562">
      <c r="A562" s="9" t="n"/>
      <c r="B562" s="9" t="n"/>
      <c r="C562" s="9" t="n"/>
      <c r="D562" s="9" t="n"/>
      <c r="E562" s="11" t="n"/>
      <c r="F562" s="13" t="n"/>
      <c r="G562" s="11" t="n"/>
      <c r="H562" s="13" t="n"/>
      <c r="I562" s="14">
        <f>IF(A562="","",IF(F562&lt;&gt;"",F562,IFERROR(INDEX(Products!$C:$C,MATCH(A562,Products!$A:$A,0)),"")))</f>
        <v/>
      </c>
      <c r="J562" s="14">
        <f>IF(OR(I562="",H562=""),"",I562-H562)</f>
        <v/>
      </c>
      <c r="K562" s="12">
        <f>IF(A562="","",IF(ISNA(MATCH(A562,Products!$A:$A,0)),"NAME NOT IN PRODUCTS",IF(D562="","ADD STORE SKU",IF(LEFT(D562,2)&lt;&gt;"v-","CHECK: STORE SKU STARTS WITH v-",IF(COUNTIF($D:$D,D562)&gt;1,"DUPLICATE STORE SKU",IF(COUNTIFS($A:$A,A562,$B:$B,B562,$C:$C,C562)&gt;1,"DUPLICATE COLOUR + SIZE","OK"))))))</f>
        <v/>
      </c>
    </row>
    <row r="563">
      <c r="A563" s="9" t="n"/>
      <c r="B563" s="9" t="n"/>
      <c r="C563" s="9" t="n"/>
      <c r="D563" s="9" t="n"/>
      <c r="E563" s="11" t="n"/>
      <c r="F563" s="13" t="n"/>
      <c r="G563" s="11" t="n"/>
      <c r="H563" s="13" t="n"/>
      <c r="I563" s="14">
        <f>IF(A563="","",IF(F563&lt;&gt;"",F563,IFERROR(INDEX(Products!$C:$C,MATCH(A563,Products!$A:$A,0)),"")))</f>
        <v/>
      </c>
      <c r="J563" s="14">
        <f>IF(OR(I563="",H563=""),"",I563-H563)</f>
        <v/>
      </c>
      <c r="K563" s="12">
        <f>IF(A563="","",IF(ISNA(MATCH(A563,Products!$A:$A,0)),"NAME NOT IN PRODUCTS",IF(D563="","ADD STORE SKU",IF(LEFT(D563,2)&lt;&gt;"v-","CHECK: STORE SKU STARTS WITH v-",IF(COUNTIF($D:$D,D563)&gt;1,"DUPLICATE STORE SKU",IF(COUNTIFS($A:$A,A563,$B:$B,B563,$C:$C,C563)&gt;1,"DUPLICATE COLOUR + SIZE","OK"))))))</f>
        <v/>
      </c>
    </row>
    <row r="564">
      <c r="A564" s="9" t="n"/>
      <c r="B564" s="9" t="n"/>
      <c r="C564" s="9" t="n"/>
      <c r="D564" s="9" t="n"/>
      <c r="E564" s="11" t="n"/>
      <c r="F564" s="13" t="n"/>
      <c r="G564" s="11" t="n"/>
      <c r="H564" s="13" t="n"/>
      <c r="I564" s="14">
        <f>IF(A564="","",IF(F564&lt;&gt;"",F564,IFERROR(INDEX(Products!$C:$C,MATCH(A564,Products!$A:$A,0)),"")))</f>
        <v/>
      </c>
      <c r="J564" s="14">
        <f>IF(OR(I564="",H564=""),"",I564-H564)</f>
        <v/>
      </c>
      <c r="K564" s="12">
        <f>IF(A564="","",IF(ISNA(MATCH(A564,Products!$A:$A,0)),"NAME NOT IN PRODUCTS",IF(D564="","ADD STORE SKU",IF(LEFT(D564,2)&lt;&gt;"v-","CHECK: STORE SKU STARTS WITH v-",IF(COUNTIF($D:$D,D564)&gt;1,"DUPLICATE STORE SKU",IF(COUNTIFS($A:$A,A564,$B:$B,B564,$C:$C,C564)&gt;1,"DUPLICATE COLOUR + SIZE","OK"))))))</f>
        <v/>
      </c>
    </row>
    <row r="565">
      <c r="A565" s="9" t="n"/>
      <c r="B565" s="9" t="n"/>
      <c r="C565" s="9" t="n"/>
      <c r="D565" s="9" t="n"/>
      <c r="E565" s="11" t="n"/>
      <c r="F565" s="13" t="n"/>
      <c r="G565" s="11" t="n"/>
      <c r="H565" s="13" t="n"/>
      <c r="I565" s="14">
        <f>IF(A565="","",IF(F565&lt;&gt;"",F565,IFERROR(INDEX(Products!$C:$C,MATCH(A565,Products!$A:$A,0)),"")))</f>
        <v/>
      </c>
      <c r="J565" s="14">
        <f>IF(OR(I565="",H565=""),"",I565-H565)</f>
        <v/>
      </c>
      <c r="K565" s="12">
        <f>IF(A565="","",IF(ISNA(MATCH(A565,Products!$A:$A,0)),"NAME NOT IN PRODUCTS",IF(D565="","ADD STORE SKU",IF(LEFT(D565,2)&lt;&gt;"v-","CHECK: STORE SKU STARTS WITH v-",IF(COUNTIF($D:$D,D565)&gt;1,"DUPLICATE STORE SKU",IF(COUNTIFS($A:$A,A565,$B:$B,B565,$C:$C,C565)&gt;1,"DUPLICATE COLOUR + SIZE","OK"))))))</f>
        <v/>
      </c>
    </row>
    <row r="566">
      <c r="A566" s="9" t="n"/>
      <c r="B566" s="9" t="n"/>
      <c r="C566" s="9" t="n"/>
      <c r="D566" s="9" t="n"/>
      <c r="E566" s="11" t="n"/>
      <c r="F566" s="13" t="n"/>
      <c r="G566" s="11" t="n"/>
      <c r="H566" s="13" t="n"/>
      <c r="I566" s="14">
        <f>IF(A566="","",IF(F566&lt;&gt;"",F566,IFERROR(INDEX(Products!$C:$C,MATCH(A566,Products!$A:$A,0)),"")))</f>
        <v/>
      </c>
      <c r="J566" s="14">
        <f>IF(OR(I566="",H566=""),"",I566-H566)</f>
        <v/>
      </c>
      <c r="K566" s="12">
        <f>IF(A566="","",IF(ISNA(MATCH(A566,Products!$A:$A,0)),"NAME NOT IN PRODUCTS",IF(D566="","ADD STORE SKU",IF(LEFT(D566,2)&lt;&gt;"v-","CHECK: STORE SKU STARTS WITH v-",IF(COUNTIF($D:$D,D566)&gt;1,"DUPLICATE STORE SKU",IF(COUNTIFS($A:$A,A566,$B:$B,B566,$C:$C,C566)&gt;1,"DUPLICATE COLOUR + SIZE","OK"))))))</f>
        <v/>
      </c>
    </row>
    <row r="567">
      <c r="A567" s="9" t="n"/>
      <c r="B567" s="9" t="n"/>
      <c r="C567" s="9" t="n"/>
      <c r="D567" s="9" t="n"/>
      <c r="E567" s="11" t="n"/>
      <c r="F567" s="13" t="n"/>
      <c r="G567" s="11" t="n"/>
      <c r="H567" s="13" t="n"/>
      <c r="I567" s="14">
        <f>IF(A567="","",IF(F567&lt;&gt;"",F567,IFERROR(INDEX(Products!$C:$C,MATCH(A567,Products!$A:$A,0)),"")))</f>
        <v/>
      </c>
      <c r="J567" s="14">
        <f>IF(OR(I567="",H567=""),"",I567-H567)</f>
        <v/>
      </c>
      <c r="K567" s="12">
        <f>IF(A567="","",IF(ISNA(MATCH(A567,Products!$A:$A,0)),"NAME NOT IN PRODUCTS",IF(D567="","ADD STORE SKU",IF(LEFT(D567,2)&lt;&gt;"v-","CHECK: STORE SKU STARTS WITH v-",IF(COUNTIF($D:$D,D567)&gt;1,"DUPLICATE STORE SKU",IF(COUNTIFS($A:$A,A567,$B:$B,B567,$C:$C,C567)&gt;1,"DUPLICATE COLOUR + SIZE","OK"))))))</f>
        <v/>
      </c>
    </row>
    <row r="568">
      <c r="A568" s="9" t="n"/>
      <c r="B568" s="9" t="n"/>
      <c r="C568" s="9" t="n"/>
      <c r="D568" s="9" t="n"/>
      <c r="E568" s="11" t="n"/>
      <c r="F568" s="13" t="n"/>
      <c r="G568" s="11" t="n"/>
      <c r="H568" s="13" t="n"/>
      <c r="I568" s="14">
        <f>IF(A568="","",IF(F568&lt;&gt;"",F568,IFERROR(INDEX(Products!$C:$C,MATCH(A568,Products!$A:$A,0)),"")))</f>
        <v/>
      </c>
      <c r="J568" s="14">
        <f>IF(OR(I568="",H568=""),"",I568-H568)</f>
        <v/>
      </c>
      <c r="K568" s="12">
        <f>IF(A568="","",IF(ISNA(MATCH(A568,Products!$A:$A,0)),"NAME NOT IN PRODUCTS",IF(D568="","ADD STORE SKU",IF(LEFT(D568,2)&lt;&gt;"v-","CHECK: STORE SKU STARTS WITH v-",IF(COUNTIF($D:$D,D568)&gt;1,"DUPLICATE STORE SKU",IF(COUNTIFS($A:$A,A568,$B:$B,B568,$C:$C,C568)&gt;1,"DUPLICATE COLOUR + SIZE","OK"))))))</f>
        <v/>
      </c>
    </row>
    <row r="569">
      <c r="A569" s="9" t="n"/>
      <c r="B569" s="9" t="n"/>
      <c r="C569" s="9" t="n"/>
      <c r="D569" s="9" t="n"/>
      <c r="E569" s="11" t="n"/>
      <c r="F569" s="13" t="n"/>
      <c r="G569" s="11" t="n"/>
      <c r="H569" s="13" t="n"/>
      <c r="I569" s="14">
        <f>IF(A569="","",IF(F569&lt;&gt;"",F569,IFERROR(INDEX(Products!$C:$C,MATCH(A569,Products!$A:$A,0)),"")))</f>
        <v/>
      </c>
      <c r="J569" s="14">
        <f>IF(OR(I569="",H569=""),"",I569-H569)</f>
        <v/>
      </c>
      <c r="K569" s="12">
        <f>IF(A569="","",IF(ISNA(MATCH(A569,Products!$A:$A,0)),"NAME NOT IN PRODUCTS",IF(D569="","ADD STORE SKU",IF(LEFT(D569,2)&lt;&gt;"v-","CHECK: STORE SKU STARTS WITH v-",IF(COUNTIF($D:$D,D569)&gt;1,"DUPLICATE STORE SKU",IF(COUNTIFS($A:$A,A569,$B:$B,B569,$C:$C,C569)&gt;1,"DUPLICATE COLOUR + SIZE","OK"))))))</f>
        <v/>
      </c>
    </row>
    <row r="570">
      <c r="A570" s="9" t="n"/>
      <c r="B570" s="9" t="n"/>
      <c r="C570" s="9" t="n"/>
      <c r="D570" s="9" t="n"/>
      <c r="E570" s="11" t="n"/>
      <c r="F570" s="13" t="n"/>
      <c r="G570" s="11" t="n"/>
      <c r="H570" s="13" t="n"/>
      <c r="I570" s="14">
        <f>IF(A570="","",IF(F570&lt;&gt;"",F570,IFERROR(INDEX(Products!$C:$C,MATCH(A570,Products!$A:$A,0)),"")))</f>
        <v/>
      </c>
      <c r="J570" s="14">
        <f>IF(OR(I570="",H570=""),"",I570-H570)</f>
        <v/>
      </c>
      <c r="K570" s="12">
        <f>IF(A570="","",IF(ISNA(MATCH(A570,Products!$A:$A,0)),"NAME NOT IN PRODUCTS",IF(D570="","ADD STORE SKU",IF(LEFT(D570,2)&lt;&gt;"v-","CHECK: STORE SKU STARTS WITH v-",IF(COUNTIF($D:$D,D570)&gt;1,"DUPLICATE STORE SKU",IF(COUNTIFS($A:$A,A570,$B:$B,B570,$C:$C,C570)&gt;1,"DUPLICATE COLOUR + SIZE","OK"))))))</f>
        <v/>
      </c>
    </row>
    <row r="571">
      <c r="A571" s="9" t="n"/>
      <c r="B571" s="9" t="n"/>
      <c r="C571" s="9" t="n"/>
      <c r="D571" s="9" t="n"/>
      <c r="E571" s="11" t="n"/>
      <c r="F571" s="13" t="n"/>
      <c r="G571" s="11" t="n"/>
      <c r="H571" s="13" t="n"/>
      <c r="I571" s="14">
        <f>IF(A571="","",IF(F571&lt;&gt;"",F571,IFERROR(INDEX(Products!$C:$C,MATCH(A571,Products!$A:$A,0)),"")))</f>
        <v/>
      </c>
      <c r="J571" s="14">
        <f>IF(OR(I571="",H571=""),"",I571-H571)</f>
        <v/>
      </c>
      <c r="K571" s="12">
        <f>IF(A571="","",IF(ISNA(MATCH(A571,Products!$A:$A,0)),"NAME NOT IN PRODUCTS",IF(D571="","ADD STORE SKU",IF(LEFT(D571,2)&lt;&gt;"v-","CHECK: STORE SKU STARTS WITH v-",IF(COUNTIF($D:$D,D571)&gt;1,"DUPLICATE STORE SKU",IF(COUNTIFS($A:$A,A571,$B:$B,B571,$C:$C,C571)&gt;1,"DUPLICATE COLOUR + SIZE","OK"))))))</f>
        <v/>
      </c>
    </row>
    <row r="572">
      <c r="A572" s="9" t="n"/>
      <c r="B572" s="9" t="n"/>
      <c r="C572" s="9" t="n"/>
      <c r="D572" s="9" t="n"/>
      <c r="E572" s="11" t="n"/>
      <c r="F572" s="13" t="n"/>
      <c r="G572" s="11" t="n"/>
      <c r="H572" s="13" t="n"/>
      <c r="I572" s="14">
        <f>IF(A572="","",IF(F572&lt;&gt;"",F572,IFERROR(INDEX(Products!$C:$C,MATCH(A572,Products!$A:$A,0)),"")))</f>
        <v/>
      </c>
      <c r="J572" s="14">
        <f>IF(OR(I572="",H572=""),"",I572-H572)</f>
        <v/>
      </c>
      <c r="K572" s="12">
        <f>IF(A572="","",IF(ISNA(MATCH(A572,Products!$A:$A,0)),"NAME NOT IN PRODUCTS",IF(D572="","ADD STORE SKU",IF(LEFT(D572,2)&lt;&gt;"v-","CHECK: STORE SKU STARTS WITH v-",IF(COUNTIF($D:$D,D572)&gt;1,"DUPLICATE STORE SKU",IF(COUNTIFS($A:$A,A572,$B:$B,B572,$C:$C,C572)&gt;1,"DUPLICATE COLOUR + SIZE","OK"))))))</f>
        <v/>
      </c>
    </row>
    <row r="573">
      <c r="A573" s="9" t="n"/>
      <c r="B573" s="9" t="n"/>
      <c r="C573" s="9" t="n"/>
      <c r="D573" s="9" t="n"/>
      <c r="E573" s="11" t="n"/>
      <c r="F573" s="13" t="n"/>
      <c r="G573" s="11" t="n"/>
      <c r="H573" s="13" t="n"/>
      <c r="I573" s="14">
        <f>IF(A573="","",IF(F573&lt;&gt;"",F573,IFERROR(INDEX(Products!$C:$C,MATCH(A573,Products!$A:$A,0)),"")))</f>
        <v/>
      </c>
      <c r="J573" s="14">
        <f>IF(OR(I573="",H573=""),"",I573-H573)</f>
        <v/>
      </c>
      <c r="K573" s="12">
        <f>IF(A573="","",IF(ISNA(MATCH(A573,Products!$A:$A,0)),"NAME NOT IN PRODUCTS",IF(D573="","ADD STORE SKU",IF(LEFT(D573,2)&lt;&gt;"v-","CHECK: STORE SKU STARTS WITH v-",IF(COUNTIF($D:$D,D573)&gt;1,"DUPLICATE STORE SKU",IF(COUNTIFS($A:$A,A573,$B:$B,B573,$C:$C,C573)&gt;1,"DUPLICATE COLOUR + SIZE","OK"))))))</f>
        <v/>
      </c>
    </row>
    <row r="574">
      <c r="A574" s="9" t="n"/>
      <c r="B574" s="9" t="n"/>
      <c r="C574" s="9" t="n"/>
      <c r="D574" s="9" t="n"/>
      <c r="E574" s="11" t="n"/>
      <c r="F574" s="13" t="n"/>
      <c r="G574" s="11" t="n"/>
      <c r="H574" s="13" t="n"/>
      <c r="I574" s="14">
        <f>IF(A574="","",IF(F574&lt;&gt;"",F574,IFERROR(INDEX(Products!$C:$C,MATCH(A574,Products!$A:$A,0)),"")))</f>
        <v/>
      </c>
      <c r="J574" s="14">
        <f>IF(OR(I574="",H574=""),"",I574-H574)</f>
        <v/>
      </c>
      <c r="K574" s="12">
        <f>IF(A574="","",IF(ISNA(MATCH(A574,Products!$A:$A,0)),"NAME NOT IN PRODUCTS",IF(D574="","ADD STORE SKU",IF(LEFT(D574,2)&lt;&gt;"v-","CHECK: STORE SKU STARTS WITH v-",IF(COUNTIF($D:$D,D574)&gt;1,"DUPLICATE STORE SKU",IF(COUNTIFS($A:$A,A574,$B:$B,B574,$C:$C,C574)&gt;1,"DUPLICATE COLOUR + SIZE","OK"))))))</f>
        <v/>
      </c>
    </row>
    <row r="575">
      <c r="A575" s="9" t="n"/>
      <c r="B575" s="9" t="n"/>
      <c r="C575" s="9" t="n"/>
      <c r="D575" s="9" t="n"/>
      <c r="E575" s="11" t="n"/>
      <c r="F575" s="13" t="n"/>
      <c r="G575" s="11" t="n"/>
      <c r="H575" s="13" t="n"/>
      <c r="I575" s="14">
        <f>IF(A575="","",IF(F575&lt;&gt;"",F575,IFERROR(INDEX(Products!$C:$C,MATCH(A575,Products!$A:$A,0)),"")))</f>
        <v/>
      </c>
      <c r="J575" s="14">
        <f>IF(OR(I575="",H575=""),"",I575-H575)</f>
        <v/>
      </c>
      <c r="K575" s="12">
        <f>IF(A575="","",IF(ISNA(MATCH(A575,Products!$A:$A,0)),"NAME NOT IN PRODUCTS",IF(D575="","ADD STORE SKU",IF(LEFT(D575,2)&lt;&gt;"v-","CHECK: STORE SKU STARTS WITH v-",IF(COUNTIF($D:$D,D575)&gt;1,"DUPLICATE STORE SKU",IF(COUNTIFS($A:$A,A575,$B:$B,B575,$C:$C,C575)&gt;1,"DUPLICATE COLOUR + SIZE","OK"))))))</f>
        <v/>
      </c>
    </row>
    <row r="576">
      <c r="A576" s="9" t="n"/>
      <c r="B576" s="9" t="n"/>
      <c r="C576" s="9" t="n"/>
      <c r="D576" s="9" t="n"/>
      <c r="E576" s="11" t="n"/>
      <c r="F576" s="13" t="n"/>
      <c r="G576" s="11" t="n"/>
      <c r="H576" s="13" t="n"/>
      <c r="I576" s="14">
        <f>IF(A576="","",IF(F576&lt;&gt;"",F576,IFERROR(INDEX(Products!$C:$C,MATCH(A576,Products!$A:$A,0)),"")))</f>
        <v/>
      </c>
      <c r="J576" s="14">
        <f>IF(OR(I576="",H576=""),"",I576-H576)</f>
        <v/>
      </c>
      <c r="K576" s="12">
        <f>IF(A576="","",IF(ISNA(MATCH(A576,Products!$A:$A,0)),"NAME NOT IN PRODUCTS",IF(D576="","ADD STORE SKU",IF(LEFT(D576,2)&lt;&gt;"v-","CHECK: STORE SKU STARTS WITH v-",IF(COUNTIF($D:$D,D576)&gt;1,"DUPLICATE STORE SKU",IF(COUNTIFS($A:$A,A576,$B:$B,B576,$C:$C,C576)&gt;1,"DUPLICATE COLOUR + SIZE","OK"))))))</f>
        <v/>
      </c>
    </row>
    <row r="577">
      <c r="A577" s="9" t="n"/>
      <c r="B577" s="9" t="n"/>
      <c r="C577" s="9" t="n"/>
      <c r="D577" s="9" t="n"/>
      <c r="E577" s="11" t="n"/>
      <c r="F577" s="13" t="n"/>
      <c r="G577" s="11" t="n"/>
      <c r="H577" s="13" t="n"/>
      <c r="I577" s="14">
        <f>IF(A577="","",IF(F577&lt;&gt;"",F577,IFERROR(INDEX(Products!$C:$C,MATCH(A577,Products!$A:$A,0)),"")))</f>
        <v/>
      </c>
      <c r="J577" s="14">
        <f>IF(OR(I577="",H577=""),"",I577-H577)</f>
        <v/>
      </c>
      <c r="K577" s="12">
        <f>IF(A577="","",IF(ISNA(MATCH(A577,Products!$A:$A,0)),"NAME NOT IN PRODUCTS",IF(D577="","ADD STORE SKU",IF(LEFT(D577,2)&lt;&gt;"v-","CHECK: STORE SKU STARTS WITH v-",IF(COUNTIF($D:$D,D577)&gt;1,"DUPLICATE STORE SKU",IF(COUNTIFS($A:$A,A577,$B:$B,B577,$C:$C,C577)&gt;1,"DUPLICATE COLOUR + SIZE","OK"))))))</f>
        <v/>
      </c>
    </row>
    <row r="578">
      <c r="A578" s="9" t="n"/>
      <c r="B578" s="9" t="n"/>
      <c r="C578" s="9" t="n"/>
      <c r="D578" s="9" t="n"/>
      <c r="E578" s="11" t="n"/>
      <c r="F578" s="13" t="n"/>
      <c r="G578" s="11" t="n"/>
      <c r="H578" s="13" t="n"/>
      <c r="I578" s="14">
        <f>IF(A578="","",IF(F578&lt;&gt;"",F578,IFERROR(INDEX(Products!$C:$C,MATCH(A578,Products!$A:$A,0)),"")))</f>
        <v/>
      </c>
      <c r="J578" s="14">
        <f>IF(OR(I578="",H578=""),"",I578-H578)</f>
        <v/>
      </c>
      <c r="K578" s="12">
        <f>IF(A578="","",IF(ISNA(MATCH(A578,Products!$A:$A,0)),"NAME NOT IN PRODUCTS",IF(D578="","ADD STORE SKU",IF(LEFT(D578,2)&lt;&gt;"v-","CHECK: STORE SKU STARTS WITH v-",IF(COUNTIF($D:$D,D578)&gt;1,"DUPLICATE STORE SKU",IF(COUNTIFS($A:$A,A578,$B:$B,B578,$C:$C,C578)&gt;1,"DUPLICATE COLOUR + SIZE","OK"))))))</f>
        <v/>
      </c>
    </row>
    <row r="579">
      <c r="A579" s="9" t="n"/>
      <c r="B579" s="9" t="n"/>
      <c r="C579" s="9" t="n"/>
      <c r="D579" s="9" t="n"/>
      <c r="E579" s="11" t="n"/>
      <c r="F579" s="13" t="n"/>
      <c r="G579" s="11" t="n"/>
      <c r="H579" s="13" t="n"/>
      <c r="I579" s="14">
        <f>IF(A579="","",IF(F579&lt;&gt;"",F579,IFERROR(INDEX(Products!$C:$C,MATCH(A579,Products!$A:$A,0)),"")))</f>
        <v/>
      </c>
      <c r="J579" s="14">
        <f>IF(OR(I579="",H579=""),"",I579-H579)</f>
        <v/>
      </c>
      <c r="K579" s="12">
        <f>IF(A579="","",IF(ISNA(MATCH(A579,Products!$A:$A,0)),"NAME NOT IN PRODUCTS",IF(D579="","ADD STORE SKU",IF(LEFT(D579,2)&lt;&gt;"v-","CHECK: STORE SKU STARTS WITH v-",IF(COUNTIF($D:$D,D579)&gt;1,"DUPLICATE STORE SKU",IF(COUNTIFS($A:$A,A579,$B:$B,B579,$C:$C,C579)&gt;1,"DUPLICATE COLOUR + SIZE","OK"))))))</f>
        <v/>
      </c>
    </row>
    <row r="580">
      <c r="A580" s="9" t="n"/>
      <c r="B580" s="9" t="n"/>
      <c r="C580" s="9" t="n"/>
      <c r="D580" s="9" t="n"/>
      <c r="E580" s="11" t="n"/>
      <c r="F580" s="13" t="n"/>
      <c r="G580" s="11" t="n"/>
      <c r="H580" s="13" t="n"/>
      <c r="I580" s="14">
        <f>IF(A580="","",IF(F580&lt;&gt;"",F580,IFERROR(INDEX(Products!$C:$C,MATCH(A580,Products!$A:$A,0)),"")))</f>
        <v/>
      </c>
      <c r="J580" s="14">
        <f>IF(OR(I580="",H580=""),"",I580-H580)</f>
        <v/>
      </c>
      <c r="K580" s="12">
        <f>IF(A580="","",IF(ISNA(MATCH(A580,Products!$A:$A,0)),"NAME NOT IN PRODUCTS",IF(D580="","ADD STORE SKU",IF(LEFT(D580,2)&lt;&gt;"v-","CHECK: STORE SKU STARTS WITH v-",IF(COUNTIF($D:$D,D580)&gt;1,"DUPLICATE STORE SKU",IF(COUNTIFS($A:$A,A580,$B:$B,B580,$C:$C,C580)&gt;1,"DUPLICATE COLOUR + SIZE","OK"))))))</f>
        <v/>
      </c>
    </row>
    <row r="581">
      <c r="A581" s="9" t="n"/>
      <c r="B581" s="9" t="n"/>
      <c r="C581" s="9" t="n"/>
      <c r="D581" s="9" t="n"/>
      <c r="E581" s="11" t="n"/>
      <c r="F581" s="13" t="n"/>
      <c r="G581" s="11" t="n"/>
      <c r="H581" s="13" t="n"/>
      <c r="I581" s="14">
        <f>IF(A581="","",IF(F581&lt;&gt;"",F581,IFERROR(INDEX(Products!$C:$C,MATCH(A581,Products!$A:$A,0)),"")))</f>
        <v/>
      </c>
      <c r="J581" s="14">
        <f>IF(OR(I581="",H581=""),"",I581-H581)</f>
        <v/>
      </c>
      <c r="K581" s="12">
        <f>IF(A581="","",IF(ISNA(MATCH(A581,Products!$A:$A,0)),"NAME NOT IN PRODUCTS",IF(D581="","ADD STORE SKU",IF(LEFT(D581,2)&lt;&gt;"v-","CHECK: STORE SKU STARTS WITH v-",IF(COUNTIF($D:$D,D581)&gt;1,"DUPLICATE STORE SKU",IF(COUNTIFS($A:$A,A581,$B:$B,B581,$C:$C,C581)&gt;1,"DUPLICATE COLOUR + SIZE","OK"))))))</f>
        <v/>
      </c>
    </row>
    <row r="582">
      <c r="A582" s="9" t="n"/>
      <c r="B582" s="9" t="n"/>
      <c r="C582" s="9" t="n"/>
      <c r="D582" s="9" t="n"/>
      <c r="E582" s="11" t="n"/>
      <c r="F582" s="13" t="n"/>
      <c r="G582" s="11" t="n"/>
      <c r="H582" s="13" t="n"/>
      <c r="I582" s="14">
        <f>IF(A582="","",IF(F582&lt;&gt;"",F582,IFERROR(INDEX(Products!$C:$C,MATCH(A582,Products!$A:$A,0)),"")))</f>
        <v/>
      </c>
      <c r="J582" s="14">
        <f>IF(OR(I582="",H582=""),"",I582-H582)</f>
        <v/>
      </c>
      <c r="K582" s="12">
        <f>IF(A582="","",IF(ISNA(MATCH(A582,Products!$A:$A,0)),"NAME NOT IN PRODUCTS",IF(D582="","ADD STORE SKU",IF(LEFT(D582,2)&lt;&gt;"v-","CHECK: STORE SKU STARTS WITH v-",IF(COUNTIF($D:$D,D582)&gt;1,"DUPLICATE STORE SKU",IF(COUNTIFS($A:$A,A582,$B:$B,B582,$C:$C,C582)&gt;1,"DUPLICATE COLOUR + SIZE","OK"))))))</f>
        <v/>
      </c>
    </row>
    <row r="583">
      <c r="A583" s="9" t="n"/>
      <c r="B583" s="9" t="n"/>
      <c r="C583" s="9" t="n"/>
      <c r="D583" s="9" t="n"/>
      <c r="E583" s="11" t="n"/>
      <c r="F583" s="13" t="n"/>
      <c r="G583" s="11" t="n"/>
      <c r="H583" s="13" t="n"/>
      <c r="I583" s="14">
        <f>IF(A583="","",IF(F583&lt;&gt;"",F583,IFERROR(INDEX(Products!$C:$C,MATCH(A583,Products!$A:$A,0)),"")))</f>
        <v/>
      </c>
      <c r="J583" s="14">
        <f>IF(OR(I583="",H583=""),"",I583-H583)</f>
        <v/>
      </c>
      <c r="K583" s="12">
        <f>IF(A583="","",IF(ISNA(MATCH(A583,Products!$A:$A,0)),"NAME NOT IN PRODUCTS",IF(D583="","ADD STORE SKU",IF(LEFT(D583,2)&lt;&gt;"v-","CHECK: STORE SKU STARTS WITH v-",IF(COUNTIF($D:$D,D583)&gt;1,"DUPLICATE STORE SKU",IF(COUNTIFS($A:$A,A583,$B:$B,B583,$C:$C,C583)&gt;1,"DUPLICATE COLOUR + SIZE","OK"))))))</f>
        <v/>
      </c>
    </row>
    <row r="584">
      <c r="A584" s="9" t="n"/>
      <c r="B584" s="9" t="n"/>
      <c r="C584" s="9" t="n"/>
      <c r="D584" s="9" t="n"/>
      <c r="E584" s="11" t="n"/>
      <c r="F584" s="13" t="n"/>
      <c r="G584" s="11" t="n"/>
      <c r="H584" s="13" t="n"/>
      <c r="I584" s="14">
        <f>IF(A584="","",IF(F584&lt;&gt;"",F584,IFERROR(INDEX(Products!$C:$C,MATCH(A584,Products!$A:$A,0)),"")))</f>
        <v/>
      </c>
      <c r="J584" s="14">
        <f>IF(OR(I584="",H584=""),"",I584-H584)</f>
        <v/>
      </c>
      <c r="K584" s="12">
        <f>IF(A584="","",IF(ISNA(MATCH(A584,Products!$A:$A,0)),"NAME NOT IN PRODUCTS",IF(D584="","ADD STORE SKU",IF(LEFT(D584,2)&lt;&gt;"v-","CHECK: STORE SKU STARTS WITH v-",IF(COUNTIF($D:$D,D584)&gt;1,"DUPLICATE STORE SKU",IF(COUNTIFS($A:$A,A584,$B:$B,B584,$C:$C,C584)&gt;1,"DUPLICATE COLOUR + SIZE","OK"))))))</f>
        <v/>
      </c>
    </row>
    <row r="585">
      <c r="A585" s="9" t="n"/>
      <c r="B585" s="9" t="n"/>
      <c r="C585" s="9" t="n"/>
      <c r="D585" s="9" t="n"/>
      <c r="E585" s="11" t="n"/>
      <c r="F585" s="13" t="n"/>
      <c r="G585" s="11" t="n"/>
      <c r="H585" s="13" t="n"/>
      <c r="I585" s="14">
        <f>IF(A585="","",IF(F585&lt;&gt;"",F585,IFERROR(INDEX(Products!$C:$C,MATCH(A585,Products!$A:$A,0)),"")))</f>
        <v/>
      </c>
      <c r="J585" s="14">
        <f>IF(OR(I585="",H585=""),"",I585-H585)</f>
        <v/>
      </c>
      <c r="K585" s="12">
        <f>IF(A585="","",IF(ISNA(MATCH(A585,Products!$A:$A,0)),"NAME NOT IN PRODUCTS",IF(D585="","ADD STORE SKU",IF(LEFT(D585,2)&lt;&gt;"v-","CHECK: STORE SKU STARTS WITH v-",IF(COUNTIF($D:$D,D585)&gt;1,"DUPLICATE STORE SKU",IF(COUNTIFS($A:$A,A585,$B:$B,B585,$C:$C,C585)&gt;1,"DUPLICATE COLOUR + SIZE","OK"))))))</f>
        <v/>
      </c>
    </row>
    <row r="586">
      <c r="A586" s="9" t="n"/>
      <c r="B586" s="9" t="n"/>
      <c r="C586" s="9" t="n"/>
      <c r="D586" s="9" t="n"/>
      <c r="E586" s="11" t="n"/>
      <c r="F586" s="13" t="n"/>
      <c r="G586" s="11" t="n"/>
      <c r="H586" s="13" t="n"/>
      <c r="I586" s="14">
        <f>IF(A586="","",IF(F586&lt;&gt;"",F586,IFERROR(INDEX(Products!$C:$C,MATCH(A586,Products!$A:$A,0)),"")))</f>
        <v/>
      </c>
      <c r="J586" s="14">
        <f>IF(OR(I586="",H586=""),"",I586-H586)</f>
        <v/>
      </c>
      <c r="K586" s="12">
        <f>IF(A586="","",IF(ISNA(MATCH(A586,Products!$A:$A,0)),"NAME NOT IN PRODUCTS",IF(D586="","ADD STORE SKU",IF(LEFT(D586,2)&lt;&gt;"v-","CHECK: STORE SKU STARTS WITH v-",IF(COUNTIF($D:$D,D586)&gt;1,"DUPLICATE STORE SKU",IF(COUNTIFS($A:$A,A586,$B:$B,B586,$C:$C,C586)&gt;1,"DUPLICATE COLOUR + SIZE","OK"))))))</f>
        <v/>
      </c>
    </row>
    <row r="587">
      <c r="A587" s="9" t="n"/>
      <c r="B587" s="9" t="n"/>
      <c r="C587" s="9" t="n"/>
      <c r="D587" s="9" t="n"/>
      <c r="E587" s="11" t="n"/>
      <c r="F587" s="13" t="n"/>
      <c r="G587" s="11" t="n"/>
      <c r="H587" s="13" t="n"/>
      <c r="I587" s="14">
        <f>IF(A587="","",IF(F587&lt;&gt;"",F587,IFERROR(INDEX(Products!$C:$C,MATCH(A587,Products!$A:$A,0)),"")))</f>
        <v/>
      </c>
      <c r="J587" s="14">
        <f>IF(OR(I587="",H587=""),"",I587-H587)</f>
        <v/>
      </c>
      <c r="K587" s="12">
        <f>IF(A587="","",IF(ISNA(MATCH(A587,Products!$A:$A,0)),"NAME NOT IN PRODUCTS",IF(D587="","ADD STORE SKU",IF(LEFT(D587,2)&lt;&gt;"v-","CHECK: STORE SKU STARTS WITH v-",IF(COUNTIF($D:$D,D587)&gt;1,"DUPLICATE STORE SKU",IF(COUNTIFS($A:$A,A587,$B:$B,B587,$C:$C,C587)&gt;1,"DUPLICATE COLOUR + SIZE","OK"))))))</f>
        <v/>
      </c>
    </row>
    <row r="588">
      <c r="A588" s="9" t="n"/>
      <c r="B588" s="9" t="n"/>
      <c r="C588" s="9" t="n"/>
      <c r="D588" s="9" t="n"/>
      <c r="E588" s="11" t="n"/>
      <c r="F588" s="13" t="n"/>
      <c r="G588" s="11" t="n"/>
      <c r="H588" s="13" t="n"/>
      <c r="I588" s="14">
        <f>IF(A588="","",IF(F588&lt;&gt;"",F588,IFERROR(INDEX(Products!$C:$C,MATCH(A588,Products!$A:$A,0)),"")))</f>
        <v/>
      </c>
      <c r="J588" s="14">
        <f>IF(OR(I588="",H588=""),"",I588-H588)</f>
        <v/>
      </c>
      <c r="K588" s="12">
        <f>IF(A588="","",IF(ISNA(MATCH(A588,Products!$A:$A,0)),"NAME NOT IN PRODUCTS",IF(D588="","ADD STORE SKU",IF(LEFT(D588,2)&lt;&gt;"v-","CHECK: STORE SKU STARTS WITH v-",IF(COUNTIF($D:$D,D588)&gt;1,"DUPLICATE STORE SKU",IF(COUNTIFS($A:$A,A588,$B:$B,B588,$C:$C,C588)&gt;1,"DUPLICATE COLOUR + SIZE","OK"))))))</f>
        <v/>
      </c>
    </row>
    <row r="589">
      <c r="A589" s="9" t="n"/>
      <c r="B589" s="9" t="n"/>
      <c r="C589" s="9" t="n"/>
      <c r="D589" s="9" t="n"/>
      <c r="E589" s="11" t="n"/>
      <c r="F589" s="13" t="n"/>
      <c r="G589" s="11" t="n"/>
      <c r="H589" s="13" t="n"/>
      <c r="I589" s="14">
        <f>IF(A589="","",IF(F589&lt;&gt;"",F589,IFERROR(INDEX(Products!$C:$C,MATCH(A589,Products!$A:$A,0)),"")))</f>
        <v/>
      </c>
      <c r="J589" s="14">
        <f>IF(OR(I589="",H589=""),"",I589-H589)</f>
        <v/>
      </c>
      <c r="K589" s="12">
        <f>IF(A589="","",IF(ISNA(MATCH(A589,Products!$A:$A,0)),"NAME NOT IN PRODUCTS",IF(D589="","ADD STORE SKU",IF(LEFT(D589,2)&lt;&gt;"v-","CHECK: STORE SKU STARTS WITH v-",IF(COUNTIF($D:$D,D589)&gt;1,"DUPLICATE STORE SKU",IF(COUNTIFS($A:$A,A589,$B:$B,B589,$C:$C,C589)&gt;1,"DUPLICATE COLOUR + SIZE","OK"))))))</f>
        <v/>
      </c>
    </row>
    <row r="590">
      <c r="A590" s="9" t="n"/>
      <c r="B590" s="9" t="n"/>
      <c r="C590" s="9" t="n"/>
      <c r="D590" s="9" t="n"/>
      <c r="E590" s="11" t="n"/>
      <c r="F590" s="13" t="n"/>
      <c r="G590" s="11" t="n"/>
      <c r="H590" s="13" t="n"/>
      <c r="I590" s="14">
        <f>IF(A590="","",IF(F590&lt;&gt;"",F590,IFERROR(INDEX(Products!$C:$C,MATCH(A590,Products!$A:$A,0)),"")))</f>
        <v/>
      </c>
      <c r="J590" s="14">
        <f>IF(OR(I590="",H590=""),"",I590-H590)</f>
        <v/>
      </c>
      <c r="K590" s="12">
        <f>IF(A590="","",IF(ISNA(MATCH(A590,Products!$A:$A,0)),"NAME NOT IN PRODUCTS",IF(D590="","ADD STORE SKU",IF(LEFT(D590,2)&lt;&gt;"v-","CHECK: STORE SKU STARTS WITH v-",IF(COUNTIF($D:$D,D590)&gt;1,"DUPLICATE STORE SKU",IF(COUNTIFS($A:$A,A590,$B:$B,B590,$C:$C,C590)&gt;1,"DUPLICATE COLOUR + SIZE","OK"))))))</f>
        <v/>
      </c>
    </row>
    <row r="591">
      <c r="A591" s="9" t="n"/>
      <c r="B591" s="9" t="n"/>
      <c r="C591" s="9" t="n"/>
      <c r="D591" s="9" t="n"/>
      <c r="E591" s="11" t="n"/>
      <c r="F591" s="13" t="n"/>
      <c r="G591" s="11" t="n"/>
      <c r="H591" s="13" t="n"/>
      <c r="I591" s="14">
        <f>IF(A591="","",IF(F591&lt;&gt;"",F591,IFERROR(INDEX(Products!$C:$C,MATCH(A591,Products!$A:$A,0)),"")))</f>
        <v/>
      </c>
      <c r="J591" s="14">
        <f>IF(OR(I591="",H591=""),"",I591-H591)</f>
        <v/>
      </c>
      <c r="K591" s="12">
        <f>IF(A591="","",IF(ISNA(MATCH(A591,Products!$A:$A,0)),"NAME NOT IN PRODUCTS",IF(D591="","ADD STORE SKU",IF(LEFT(D591,2)&lt;&gt;"v-","CHECK: STORE SKU STARTS WITH v-",IF(COUNTIF($D:$D,D591)&gt;1,"DUPLICATE STORE SKU",IF(COUNTIFS($A:$A,A591,$B:$B,B591,$C:$C,C591)&gt;1,"DUPLICATE COLOUR + SIZE","OK"))))))</f>
        <v/>
      </c>
    </row>
    <row r="592">
      <c r="A592" s="9" t="n"/>
      <c r="B592" s="9" t="n"/>
      <c r="C592" s="9" t="n"/>
      <c r="D592" s="9" t="n"/>
      <c r="E592" s="11" t="n"/>
      <c r="F592" s="13" t="n"/>
      <c r="G592" s="11" t="n"/>
      <c r="H592" s="13" t="n"/>
      <c r="I592" s="14">
        <f>IF(A592="","",IF(F592&lt;&gt;"",F592,IFERROR(INDEX(Products!$C:$C,MATCH(A592,Products!$A:$A,0)),"")))</f>
        <v/>
      </c>
      <c r="J592" s="14">
        <f>IF(OR(I592="",H592=""),"",I592-H592)</f>
        <v/>
      </c>
      <c r="K592" s="12">
        <f>IF(A592="","",IF(ISNA(MATCH(A592,Products!$A:$A,0)),"NAME NOT IN PRODUCTS",IF(D592="","ADD STORE SKU",IF(LEFT(D592,2)&lt;&gt;"v-","CHECK: STORE SKU STARTS WITH v-",IF(COUNTIF($D:$D,D592)&gt;1,"DUPLICATE STORE SKU",IF(COUNTIFS($A:$A,A592,$B:$B,B592,$C:$C,C592)&gt;1,"DUPLICATE COLOUR + SIZE","OK"))))))</f>
        <v/>
      </c>
    </row>
    <row r="593">
      <c r="A593" s="9" t="n"/>
      <c r="B593" s="9" t="n"/>
      <c r="C593" s="9" t="n"/>
      <c r="D593" s="9" t="n"/>
      <c r="E593" s="11" t="n"/>
      <c r="F593" s="13" t="n"/>
      <c r="G593" s="11" t="n"/>
      <c r="H593" s="13" t="n"/>
      <c r="I593" s="14">
        <f>IF(A593="","",IF(F593&lt;&gt;"",F593,IFERROR(INDEX(Products!$C:$C,MATCH(A593,Products!$A:$A,0)),"")))</f>
        <v/>
      </c>
      <c r="J593" s="14">
        <f>IF(OR(I593="",H593=""),"",I593-H593)</f>
        <v/>
      </c>
      <c r="K593" s="12">
        <f>IF(A593="","",IF(ISNA(MATCH(A593,Products!$A:$A,0)),"NAME NOT IN PRODUCTS",IF(D593="","ADD STORE SKU",IF(LEFT(D593,2)&lt;&gt;"v-","CHECK: STORE SKU STARTS WITH v-",IF(COUNTIF($D:$D,D593)&gt;1,"DUPLICATE STORE SKU",IF(COUNTIFS($A:$A,A593,$B:$B,B593,$C:$C,C593)&gt;1,"DUPLICATE COLOUR + SIZE","OK"))))))</f>
        <v/>
      </c>
    </row>
    <row r="594">
      <c r="A594" s="9" t="n"/>
      <c r="B594" s="9" t="n"/>
      <c r="C594" s="9" t="n"/>
      <c r="D594" s="9" t="n"/>
      <c r="E594" s="11" t="n"/>
      <c r="F594" s="13" t="n"/>
      <c r="G594" s="11" t="n"/>
      <c r="H594" s="13" t="n"/>
      <c r="I594" s="14">
        <f>IF(A594="","",IF(F594&lt;&gt;"",F594,IFERROR(INDEX(Products!$C:$C,MATCH(A594,Products!$A:$A,0)),"")))</f>
        <v/>
      </c>
      <c r="J594" s="14">
        <f>IF(OR(I594="",H594=""),"",I594-H594)</f>
        <v/>
      </c>
      <c r="K594" s="12">
        <f>IF(A594="","",IF(ISNA(MATCH(A594,Products!$A:$A,0)),"NAME NOT IN PRODUCTS",IF(D594="","ADD STORE SKU",IF(LEFT(D594,2)&lt;&gt;"v-","CHECK: STORE SKU STARTS WITH v-",IF(COUNTIF($D:$D,D594)&gt;1,"DUPLICATE STORE SKU",IF(COUNTIFS($A:$A,A594,$B:$B,B594,$C:$C,C594)&gt;1,"DUPLICATE COLOUR + SIZE","OK"))))))</f>
        <v/>
      </c>
    </row>
    <row r="595">
      <c r="A595" s="9" t="n"/>
      <c r="B595" s="9" t="n"/>
      <c r="C595" s="9" t="n"/>
      <c r="D595" s="9" t="n"/>
      <c r="E595" s="11" t="n"/>
      <c r="F595" s="13" t="n"/>
      <c r="G595" s="11" t="n"/>
      <c r="H595" s="13" t="n"/>
      <c r="I595" s="14">
        <f>IF(A595="","",IF(F595&lt;&gt;"",F595,IFERROR(INDEX(Products!$C:$C,MATCH(A595,Products!$A:$A,0)),"")))</f>
        <v/>
      </c>
      <c r="J595" s="14">
        <f>IF(OR(I595="",H595=""),"",I595-H595)</f>
        <v/>
      </c>
      <c r="K595" s="12">
        <f>IF(A595="","",IF(ISNA(MATCH(A595,Products!$A:$A,0)),"NAME NOT IN PRODUCTS",IF(D595="","ADD STORE SKU",IF(LEFT(D595,2)&lt;&gt;"v-","CHECK: STORE SKU STARTS WITH v-",IF(COUNTIF($D:$D,D595)&gt;1,"DUPLICATE STORE SKU",IF(COUNTIFS($A:$A,A595,$B:$B,B595,$C:$C,C595)&gt;1,"DUPLICATE COLOUR + SIZE","OK"))))))</f>
        <v/>
      </c>
    </row>
    <row r="596">
      <c r="A596" s="9" t="n"/>
      <c r="B596" s="9" t="n"/>
      <c r="C596" s="9" t="n"/>
      <c r="D596" s="9" t="n"/>
      <c r="E596" s="11" t="n"/>
      <c r="F596" s="13" t="n"/>
      <c r="G596" s="11" t="n"/>
      <c r="H596" s="13" t="n"/>
      <c r="I596" s="14">
        <f>IF(A596="","",IF(F596&lt;&gt;"",F596,IFERROR(INDEX(Products!$C:$C,MATCH(A596,Products!$A:$A,0)),"")))</f>
        <v/>
      </c>
      <c r="J596" s="14">
        <f>IF(OR(I596="",H596=""),"",I596-H596)</f>
        <v/>
      </c>
      <c r="K596" s="12">
        <f>IF(A596="","",IF(ISNA(MATCH(A596,Products!$A:$A,0)),"NAME NOT IN PRODUCTS",IF(D596="","ADD STORE SKU",IF(LEFT(D596,2)&lt;&gt;"v-","CHECK: STORE SKU STARTS WITH v-",IF(COUNTIF($D:$D,D596)&gt;1,"DUPLICATE STORE SKU",IF(COUNTIFS($A:$A,A596,$B:$B,B596,$C:$C,C596)&gt;1,"DUPLICATE COLOUR + SIZE","OK"))))))</f>
        <v/>
      </c>
    </row>
    <row r="597">
      <c r="A597" s="9" t="n"/>
      <c r="B597" s="9" t="n"/>
      <c r="C597" s="9" t="n"/>
      <c r="D597" s="9" t="n"/>
      <c r="E597" s="11" t="n"/>
      <c r="F597" s="13" t="n"/>
      <c r="G597" s="11" t="n"/>
      <c r="H597" s="13" t="n"/>
      <c r="I597" s="14">
        <f>IF(A597="","",IF(F597&lt;&gt;"",F597,IFERROR(INDEX(Products!$C:$C,MATCH(A597,Products!$A:$A,0)),"")))</f>
        <v/>
      </c>
      <c r="J597" s="14">
        <f>IF(OR(I597="",H597=""),"",I597-H597)</f>
        <v/>
      </c>
      <c r="K597" s="12">
        <f>IF(A597="","",IF(ISNA(MATCH(A597,Products!$A:$A,0)),"NAME NOT IN PRODUCTS",IF(D597="","ADD STORE SKU",IF(LEFT(D597,2)&lt;&gt;"v-","CHECK: STORE SKU STARTS WITH v-",IF(COUNTIF($D:$D,D597)&gt;1,"DUPLICATE STORE SKU",IF(COUNTIFS($A:$A,A597,$B:$B,B597,$C:$C,C597)&gt;1,"DUPLICATE COLOUR + SIZE","OK"))))))</f>
        <v/>
      </c>
    </row>
    <row r="598">
      <c r="A598" s="9" t="n"/>
      <c r="B598" s="9" t="n"/>
      <c r="C598" s="9" t="n"/>
      <c r="D598" s="9" t="n"/>
      <c r="E598" s="11" t="n"/>
      <c r="F598" s="13" t="n"/>
      <c r="G598" s="11" t="n"/>
      <c r="H598" s="13" t="n"/>
      <c r="I598" s="14">
        <f>IF(A598="","",IF(F598&lt;&gt;"",F598,IFERROR(INDEX(Products!$C:$C,MATCH(A598,Products!$A:$A,0)),"")))</f>
        <v/>
      </c>
      <c r="J598" s="14">
        <f>IF(OR(I598="",H598=""),"",I598-H598)</f>
        <v/>
      </c>
      <c r="K598" s="12">
        <f>IF(A598="","",IF(ISNA(MATCH(A598,Products!$A:$A,0)),"NAME NOT IN PRODUCTS",IF(D598="","ADD STORE SKU",IF(LEFT(D598,2)&lt;&gt;"v-","CHECK: STORE SKU STARTS WITH v-",IF(COUNTIF($D:$D,D598)&gt;1,"DUPLICATE STORE SKU",IF(COUNTIFS($A:$A,A598,$B:$B,B598,$C:$C,C598)&gt;1,"DUPLICATE COLOUR + SIZE","OK"))))))</f>
        <v/>
      </c>
    </row>
    <row r="599">
      <c r="A599" s="9" t="n"/>
      <c r="B599" s="9" t="n"/>
      <c r="C599" s="9" t="n"/>
      <c r="D599" s="9" t="n"/>
      <c r="E599" s="11" t="n"/>
      <c r="F599" s="13" t="n"/>
      <c r="G599" s="11" t="n"/>
      <c r="H599" s="13" t="n"/>
      <c r="I599" s="14">
        <f>IF(A599="","",IF(F599&lt;&gt;"",F599,IFERROR(INDEX(Products!$C:$C,MATCH(A599,Products!$A:$A,0)),"")))</f>
        <v/>
      </c>
      <c r="J599" s="14">
        <f>IF(OR(I599="",H599=""),"",I599-H599)</f>
        <v/>
      </c>
      <c r="K599" s="12">
        <f>IF(A599="","",IF(ISNA(MATCH(A599,Products!$A:$A,0)),"NAME NOT IN PRODUCTS",IF(D599="","ADD STORE SKU",IF(LEFT(D599,2)&lt;&gt;"v-","CHECK: STORE SKU STARTS WITH v-",IF(COUNTIF($D:$D,D599)&gt;1,"DUPLICATE STORE SKU",IF(COUNTIFS($A:$A,A599,$B:$B,B599,$C:$C,C599)&gt;1,"DUPLICATE COLOUR + SIZE","OK"))))))</f>
        <v/>
      </c>
    </row>
    <row r="600">
      <c r="A600" s="9" t="n"/>
      <c r="B600" s="9" t="n"/>
      <c r="C600" s="9" t="n"/>
      <c r="D600" s="9" t="n"/>
      <c r="E600" s="11" t="n"/>
      <c r="F600" s="13" t="n"/>
      <c r="G600" s="11" t="n"/>
      <c r="H600" s="13" t="n"/>
      <c r="I600" s="14">
        <f>IF(A600="","",IF(F600&lt;&gt;"",F600,IFERROR(INDEX(Products!$C:$C,MATCH(A600,Products!$A:$A,0)),"")))</f>
        <v/>
      </c>
      <c r="J600" s="14">
        <f>IF(OR(I600="",H600=""),"",I600-H600)</f>
        <v/>
      </c>
      <c r="K600" s="12">
        <f>IF(A600="","",IF(ISNA(MATCH(A600,Products!$A:$A,0)),"NAME NOT IN PRODUCTS",IF(D600="","ADD STORE SKU",IF(LEFT(D600,2)&lt;&gt;"v-","CHECK: STORE SKU STARTS WITH v-",IF(COUNTIF($D:$D,D600)&gt;1,"DUPLICATE STORE SKU",IF(COUNTIFS($A:$A,A600,$B:$B,B600,$C:$C,C600)&gt;1,"DUPLICATE COLOUR + SIZE","OK"))))))</f>
        <v/>
      </c>
    </row>
  </sheetData>
  <dataValidations count="2">
    <dataValidation sqref="C2:C600" showDropDown="0" showInputMessage="0" showErrorMessage="0" allowBlank="1" type="list">
      <formula1>=Lists!$A$2:$A$11</formula1>
    </dataValidation>
    <dataValidation sqref="A2:A600" showDropDown="0" showInputMessage="0" showErrorMessage="0" allowBlank="1" type="list">
      <formula1>=Products!$A$2:$A$60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4" t="inlineStr">
        <is>
          <t>Sizes</t>
        </is>
      </c>
      <c r="B1" s="4" t="inlineStr">
        <is>
          <t>Statuses</t>
        </is>
      </c>
      <c r="C1" s="4" t="inlineStr">
        <is>
          <t>Common colours (you can type others)</t>
        </is>
      </c>
    </row>
    <row r="2">
      <c r="A2" s="3" t="inlineStr">
        <is>
          <t>XS</t>
        </is>
      </c>
      <c r="B2" s="3" t="inlineStr">
        <is>
          <t>active</t>
        </is>
      </c>
      <c r="C2" s="3" t="inlineStr">
        <is>
          <t>White</t>
        </is>
      </c>
    </row>
    <row r="3">
      <c r="A3" s="3" t="inlineStr">
        <is>
          <t>S</t>
        </is>
      </c>
      <c r="B3" s="3" t="inlineStr">
        <is>
          <t>draft</t>
        </is>
      </c>
      <c r="C3" s="3" t="inlineStr">
        <is>
          <t>Black</t>
        </is>
      </c>
    </row>
    <row r="4">
      <c r="A4" s="3" t="inlineStr">
        <is>
          <t>M</t>
        </is>
      </c>
      <c r="C4" s="3" t="inlineStr">
        <is>
          <t>Navy Blue</t>
        </is>
      </c>
    </row>
    <row r="5">
      <c r="A5" s="3" t="inlineStr">
        <is>
          <t>L</t>
        </is>
      </c>
      <c r="C5" s="3" t="inlineStr">
        <is>
          <t>Grey Melange</t>
        </is>
      </c>
    </row>
    <row r="6">
      <c r="A6" s="3" t="inlineStr">
        <is>
          <t>XL</t>
        </is>
      </c>
      <c r="C6" s="3" t="inlineStr">
        <is>
          <t>Maroon</t>
        </is>
      </c>
    </row>
    <row r="7">
      <c r="A7" s="3" t="inlineStr">
        <is>
          <t>XXL</t>
        </is>
      </c>
      <c r="C7" s="3" t="inlineStr">
        <is>
          <t>Bottle Green</t>
        </is>
      </c>
    </row>
    <row r="8">
      <c r="A8" s="3" t="inlineStr">
        <is>
          <t>3XL</t>
        </is>
      </c>
      <c r="C8" s="3" t="inlineStr">
        <is>
          <t>Royal Blue</t>
        </is>
      </c>
    </row>
    <row r="9">
      <c r="A9" s="3" t="inlineStr">
        <is>
          <t>4XL</t>
        </is>
      </c>
      <c r="C9" s="3" t="inlineStr">
        <is>
          <t>Red</t>
        </is>
      </c>
    </row>
    <row r="10">
      <c r="A10" s="3" t="inlineStr">
        <is>
          <t>5XL</t>
        </is>
      </c>
      <c r="C10" s="3" t="inlineStr">
        <is>
          <t>Yellow</t>
        </is>
      </c>
    </row>
    <row r="11">
      <c r="A11" s="3" t="inlineStr">
        <is>
          <t>Free Size</t>
        </is>
      </c>
      <c r="C11" s="3" t="inlineStr">
        <is>
          <t>Olive Green</t>
        </is>
      </c>
    </row>
    <row r="12">
      <c r="C12" s="3" t="inlineStr">
        <is>
          <t>Beige</t>
        </is>
      </c>
    </row>
    <row r="13">
      <c r="C13" s="3" t="inlineStr">
        <is>
          <t>Lavender</t>
        </is>
      </c>
    </row>
    <row r="14">
      <c r="C14" s="3" t="inlineStr">
        <is>
          <t>Baby Pink</t>
        </is>
      </c>
    </row>
    <row r="15">
      <c r="C15" s="3" t="inlineStr">
        <is>
          <t>Sky Blue</t>
        </is>
      </c>
    </row>
    <row r="16">
      <c r="C16" s="3" t="inlineStr">
        <is>
          <t>Charcoal Melange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2026-10-20T08:58:25Z</dcterms:created>
  <dcterms:modified xsi:type="dcterms:W3CDTF">2026-10-20T08:58:25Z</dcterms:modified>
</cp:coreProperties>
</file>